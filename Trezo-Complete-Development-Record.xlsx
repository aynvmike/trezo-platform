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ummary" sheetId="1" state="visible" r:id="rId3"/>
    <sheet name="Unified Timeline" sheetId="2" state="visible" r:id="rId4"/>
    <sheet name="Work Log (Trezo)" sheetId="3" state="visible" r:id="rId5"/>
    <sheet name="Monthly (Trezo)" sheetId="4" state="visible" r:id="rId6"/>
    <sheet name="WB Timeline" sheetId="5" state="visible" r:id="rId7"/>
    <sheet name="Metho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<sst xmlns="http://schemas.openxmlformats.org/spreadsheetml/2006/main" count="435" uniqueCount="295">
  <si>
    <t xml:space="preserve">TREZO — COMPLETE DEVELOPMENT RECORD</t>
  </si>
  <si>
    <t xml:space="preserve">From the first Woven Basket precursor (June 2025) through the live Trezo platform. Good-faith business record; every figure carries its evidence tier.</t>
  </si>
  <si>
    <t xml:space="preserve">INPUTS (blue, yellow = edit)</t>
  </si>
  <si>
    <t xml:space="preserve">Full-arc start — earliest substantiated precursor (Woven Basket, Nokia credit-collar work)</t>
  </si>
  <si>
    <t xml:space="preserve">Report as of</t>
  </si>
  <si>
    <t xml:space="preserve">THE FULL ARC</t>
  </si>
  <si>
    <t xml:space="preserve">Elapsed calendar days</t>
  </si>
  <si>
    <t xml:space="preserve">Inclusive calendar days</t>
  </si>
  <si>
    <t xml:space="preserve">Full weeks</t>
  </si>
  <si>
    <t xml:space="preserve">Remaining days</t>
  </si>
  <si>
    <t xml:space="preserve">Approximate months (30.4375-day avg)</t>
  </si>
  <si>
    <t xml:space="preserve">Weekdays / weekend days in span</t>
  </si>
  <si>
    <t xml:space="preserve">311 / 124</t>
  </si>
  <si>
    <t xml:space="preserve">Calendar composition to 2026-08-19 (computed; recompute if as-of changes). Not proof of days worked.</t>
  </si>
  <si>
    <t xml:space="preserve">THREE ERAS, THREE KINDS OF EVIDENCE</t>
  </si>
  <si>
    <t xml:space="preserve">Era</t>
  </si>
  <si>
    <t xml:space="preserve">Period</t>
  </si>
  <si>
    <t xml:space="preserve">Business activity</t>
  </si>
  <si>
    <t xml:space="preserve">Hours</t>
  </si>
  <si>
    <t xml:space="preserve">Evidence tier</t>
  </si>
  <si>
    <t xml:space="preserve">1 — Strategy R&amp;D (Woven Basket)</t>
  </si>
  <si>
    <t xml:space="preserve">2025-06-11 → 2026-05-17</t>
  </si>
  <si>
    <t xml:space="preserve">R&amp;D, strategy development, IP development: credit-collar precursor → $2k/month income system → seven-layer Woven Basket v1-5 (proprietary IP)</t>
  </si>
  <si>
    <t xml:space="preserve">Not recoverable</t>
  </si>
  <si>
    <t xml:space="preserve">Reconstructed from recovered conversation records; Medium/Low confidence</t>
  </si>
  <si>
    <t xml:space="preserve">2 — Platform foundation</t>
  </si>
  <si>
    <t xml:space="preserve">2026-05-15 → 2026-06-01</t>
  </si>
  <si>
    <t xml:space="preserve">System development begins: first Trezo folder (May 15, 15:43:15), environment and design work predating version control. Note: overlaps Era 1 — Woven Basket v1-5 (May 17) was finalized as platform work began.</t>
  </si>
  <si>
    <t xml:space="preserve">Folder timestamp (high); period contents user-recalled</t>
  </si>
  <si>
    <t xml:space="preserve">3 — Platform build (Trezo)</t>
  </si>
  <si>
    <t xml:space="preserve">2026-06-01 → present</t>
  </si>
  <si>
    <t xml:space="preserve">System development, revision, documentation: 198 commits, 22 agents, 3 books, ops hardening, profit-protection system</t>
  </si>
  <si>
    <t xml:space="preserve">Git commit history (high); hours are a floor — see Method</t>
  </si>
  <si>
    <t xml:space="preserve">KEY CONCLUSION</t>
  </si>
  <si>
    <t xml:space="preserve">The available record supports a continuous development arc from at least June 11, 2025 through the present: strategy R&amp;D culminating in Woven Basket v1-5, flowing directly into the Trezo platform that implements it. Active-work hours are defensible only for Era 3 (git-evidenced floor, currently 218.3 h plus manual additions). Eras 1–2 are spans with substantiated milestones, not hour claims — original chat or file-version timestamps can be added later to upgrade them.</t>
  </si>
  <si>
    <t xml:space="preserve">UNIFIED DEVELOPMENT TIMELINE</t>
  </si>
  <si>
    <t xml:space="preserve">Every substantiated milestone across both records, in order. Fill color = evidence tier.</t>
  </si>
  <si>
    <t xml:space="preserve">Date</t>
  </si>
  <si>
    <t xml:space="preserve">Phase</t>
  </si>
  <si>
    <t xml:space="preserve">What happened</t>
  </si>
  <si>
    <t xml:space="preserve">Evidence / source</t>
  </si>
  <si>
    <t xml:space="preserve">Confidence</t>
  </si>
  <si>
    <t xml:space="preserve">2025-06-11</t>
  </si>
  <si>
    <t xml:space="preserve">Foundation</t>
  </si>
  <si>
    <t xml:space="preserve">Nokia recurring-premium / portfolio-protection precursor work begins.</t>
  </si>
  <si>
    <t xml:space="preserve">Recovered ChatGPT record (turn 6caf0a78…)</t>
  </si>
  <si>
    <t xml:space="preserve">Medium</t>
  </si>
  <si>
    <t xml:space="preserve">2025-06-16</t>
  </si>
  <si>
    <t xml:space="preserve">Credit-collar structure: shares, short calls, long puts, roll/management logic.</t>
  </si>
  <si>
    <t xml:space="preserve">2025-09-24</t>
  </si>
  <si>
    <t xml:space="preserve">Income system</t>
  </si>
  <si>
    <t xml:space="preserve">Stock/options system targeting ~$2,000/month — ancestor of the income architecture.</t>
  </si>
  <si>
    <t xml:space="preserve">2026-01→02</t>
  </si>
  <si>
    <t xml:space="preserve">Integration</t>
  </si>
  <si>
    <t xml:space="preserve">Extended work and several documents recalled; artifacts not recovered.</t>
  </si>
  <si>
    <t xml:space="preserve">User recollection only</t>
  </si>
  <si>
    <t xml:space="preserve">Low</t>
  </si>
  <si>
    <t xml:space="preserve">2026-03</t>
  </si>
  <si>
    <t xml:space="preserve">Precursor concepts leading into Woven Basket reported in earlier review.</t>
  </si>
  <si>
    <t xml:space="preserve">Assistant statement (turn b21e376d…)</t>
  </si>
  <si>
    <t xml:space="preserve">2026-05-13</t>
  </si>
  <si>
    <t xml:space="preserve">Formalization</t>
  </si>
  <si>
    <t xml:space="preserve">The Woven Basket Investment Strategy named: seven interconnected layers, cross-layer protection, cash-flow waterfall.</t>
  </si>
  <si>
    <t xml:space="preserve">Recovered ChatGPT record (turns b21e376d…, 4d170423…)</t>
  </si>
  <si>
    <t xml:space="preserve">2026-05-15</t>
  </si>
  <si>
    <t xml:space="preserve">First Trezo folder created, 3:43:15 PM — platform work begins.</t>
  </si>
  <si>
    <t xml:space="preserve">Folder creation timestamp</t>
  </si>
  <si>
    <t xml:space="preserve">High</t>
  </si>
  <si>
    <t xml:space="preserve">2026-05-17</t>
  </si>
  <si>
    <t xml:space="preserve">Culmination</t>
  </si>
  <si>
    <t xml:space="preserve">Woven Basket v1-5 — architecture identified as proprietary IP. Strategy finalized as platform work began.</t>
  </si>
  <si>
    <t xml:space="preserve">Recovered ChatGPT record (turn 4d170423…)</t>
  </si>
  <si>
    <t xml:space="preserve">2026-06-01</t>
  </si>
  <si>
    <t xml:space="preserve">Baseline</t>
  </si>
  <si>
    <t xml:space="preserve">First commit: paper page recovered, capital pressure shipped. Version control begins.</t>
  </si>
  <si>
    <t xml:space="preserve">Git commit</t>
  </si>
  <si>
    <t xml:space="preserve">2026-06-12</t>
  </si>
  <si>
    <t xml:space="preserve">Hardening</t>
  </si>
  <si>
    <t xml:space="preserve">Marathon audit: 32 fixes — crypto exits, Wheel universe, position trimming.</t>
  </si>
  <si>
    <t xml:space="preserve">Git commits</t>
  </si>
  <si>
    <t xml:space="preserve">2026-06-13</t>
  </si>
  <si>
    <t xml:space="preserve">Crypto lane</t>
  </si>
  <si>
    <t xml:space="preserve">Crypto Part 1: classification fixed, HODL accumulate-and-hold added.</t>
  </si>
  <si>
    <t xml:space="preserve">Git commits (10)</t>
  </si>
  <si>
    <t xml:space="preserve">2026-07-02</t>
  </si>
  <si>
    <t xml:space="preserve">Realism</t>
  </si>
  <si>
    <t xml:space="preserve">ATR-capped realistic targets; crypto revival (dead-SCALP bug, live volume).</t>
  </si>
  <si>
    <t xml:space="preserve">Git commits (12)</t>
  </si>
  <si>
    <t xml:space="preserve">2026-07-11</t>
  </si>
  <si>
    <t xml:space="preserve">One scale</t>
  </si>
  <si>
    <t xml:space="preserve">TCS unified 0–100 platform-wide.</t>
  </si>
  <si>
    <t xml:space="preserve">2026-07-15</t>
  </si>
  <si>
    <t xml:space="preserve">Protection</t>
  </si>
  <si>
    <t xml:space="preserve">Leg-resync hardened: broker-truth quantity, protection-first stop fallback.</t>
  </si>
  <si>
    <t xml:space="preserve">2026-07-27</t>
  </si>
  <si>
    <t xml:space="preserve">Learning</t>
  </si>
  <si>
    <t xml:space="preserve">Agents gain a voice: evidence-backed rule-change proposals.</t>
  </si>
  <si>
    <t xml:space="preserve">Git commits (6)</t>
  </si>
  <si>
    <t xml:space="preserve">2026-07-28</t>
  </si>
  <si>
    <t xml:space="preserve">Security</t>
  </si>
  <si>
    <t xml:space="preserve">Security sweep: engine unpublished from network, loopback write-guard.</t>
  </si>
  <si>
    <t xml:space="preserve">Git commits (5)</t>
  </si>
  <si>
    <t xml:space="preserve">2026-08-05</t>
  </si>
  <si>
    <t xml:space="preserve">Market-shut harvest bug + failed leg check read as all-clear — 22-commit day.</t>
  </si>
  <si>
    <t xml:space="preserve">Git commits (22)</t>
  </si>
  <si>
    <t xml:space="preserve">2026-08-09</t>
  </si>
  <si>
    <t xml:space="preserve">Multi-book</t>
  </si>
  <si>
    <t xml:space="preserve">Owner/account split: 5k, 25k, 75k books with per-book credentials.</t>
  </si>
  <si>
    <t xml:space="preserve">2026-08-18</t>
  </si>
  <si>
    <t xml:space="preserve">Venue safety</t>
  </si>
  <si>
    <t xml:space="preserve">Stops and take-profits rest AT the broker, surviving engine outages.</t>
  </si>
  <si>
    <t xml:space="preserve">Git commits (23)</t>
  </si>
  <si>
    <t xml:space="preserve">2026-08-19</t>
  </si>
  <si>
    <t xml:space="preserve">Turnaround</t>
  </si>
  <si>
    <t xml:space="preserve">Profit ladder retuned from 30-day evidence; single-engine enforcement; DCA bounce gate; ~$1,900 locked in first 15 minutes; 5k book recrosses $5,000.</t>
  </si>
  <si>
    <t xml:space="preserve">Git commits (11) + broker screenshots</t>
  </si>
  <si>
    <t xml:space="preserve">Green = substantiated (recovered record, timestamp, or git). Gold = inferred / user-recalled — kept, labeled, and excluded from any hour total.</t>
  </si>
  <si>
    <t xml:space="preserve">ERA 3 WORK LOG — GIT-DERIVED + MANUAL</t>
  </si>
  <si>
    <t xml:space="preserve">Rows marked git regenerate from commit history (tools/worklog.py). Yellow manual rows are yours.</t>
  </si>
  <si>
    <t xml:space="preserve">Month</t>
  </si>
  <si>
    <t xml:space="preserve">Commits</t>
  </si>
  <si>
    <t xml:space="preserve">First</t>
  </si>
  <si>
    <t xml:space="preserve">Last</t>
  </si>
  <si>
    <t xml:space="preserve">Source</t>
  </si>
  <si>
    <t xml:space="preserve">What shipped / notes</t>
  </si>
  <si>
    <t xml:space="preserve">18:45</t>
  </si>
  <si>
    <t xml:space="preserve">git</t>
  </si>
  <si>
    <t xml:space="preserve">Trezo baseline 2026-06-01 - paper page recovered, capital pressure shipped</t>
  </si>
  <si>
    <t xml:space="preserve">20:12</t>
  </si>
  <si>
    <t xml:space="preserve">Trezo snapshot 2026-06-03 - all green: 22 agents, sliding-scale giveback, OpsWatchdog, auto-reconcile</t>
  </si>
  <si>
    <t xml:space="preserve">11:54</t>
  </si>
  <si>
    <t xml:space="preserve">Trezo snapshot 2026-06-04 - all green: 22 agents, sliding-scale giveback, OpsWatchdog, auto-reconcile</t>
  </si>
  <si>
    <t xml:space="preserve">02:29</t>
  </si>
  <si>
    <t xml:space="preserve">22:07</t>
  </si>
  <si>
    <t xml:space="preserve">2026-06-11/12 marathon audit: 32 fixes - crypto exits, Wheel full-market universe, trim_positions</t>
  </si>
  <si>
    <t xml:space="preserve">04:13</t>
  </si>
  <si>
    <t xml:space="preserve">18:30</t>
  </si>
  <si>
    <t xml:space="preserve">Crypto Part 1: fix crypto classification (ISO coins -&gt; modeled engine), add HODL accumulate-and-hold</t>
  </si>
  <si>
    <t xml:space="preserve">17:47</t>
  </si>
  <si>
    <t xml:space="preserve">6/16 bug-fix + self-healing integrity sweep</t>
  </si>
  <si>
    <t xml:space="preserve">02:08</t>
  </si>
  <si>
    <t xml:space="preserve">08:25</t>
  </si>
  <si>
    <t xml:space="preserve">6/16 learning loop: outcome-weighted strategy selection + macro fall-through</t>
  </si>
  <si>
    <t xml:space="preserve">05:17</t>
  </si>
  <si>
    <t xml:space="preserve">17:10</t>
  </si>
  <si>
    <t xml:space="preserve">Paper page: positions/trades up top; account-size testing to Strategy Lab</t>
  </si>
  <si>
    <t xml:space="preserve">13:47</t>
  </si>
  <si>
    <t xml:space="preserve">14:18</t>
  </si>
  <si>
    <t xml:space="preserve">Trading: integrity flags - classify positions Live/Modeled/Unconfirmed vs Alpaca</t>
  </si>
  <si>
    <t xml:space="preserve">18:32</t>
  </si>
  <si>
    <t xml:space="preserve">19:22</t>
  </si>
  <si>
    <t xml:space="preserve">Agents: route crypto + options exits through the shared capability library</t>
  </si>
  <si>
    <t xml:space="preserve">13:55</t>
  </si>
  <si>
    <t xml:space="preserve">16:18</t>
  </si>
  <si>
    <t xml:space="preserve">Trading page: show why each position is held + its path to profit</t>
  </si>
  <si>
    <t xml:space="preserve">22:25</t>
  </si>
  <si>
    <t xml:space="preserve">22:39</t>
  </si>
  <si>
    <t xml:space="preserve">Visibility pack: activity log wired into vetoes, approvals, pocket skips, submits, broker rejects</t>
  </si>
  <si>
    <t xml:space="preserve">05:47</t>
  </si>
  <si>
    <t xml:space="preserve">14:45</t>
  </si>
  <si>
    <t xml:space="preserve">Realistic ATR-capped targets, crypto revival (dead-SCALP units bug + volume bar + CoinGecko)</t>
  </si>
  <si>
    <t xml:space="preserve">13:40</t>
  </si>
  <si>
    <t xml:space="preserve">14:17</t>
  </si>
  <si>
    <t xml:space="preserve">R:R-consistent stops when realism caps targets (unblocks sizing-rejected approvals)</t>
  </si>
  <si>
    <t xml:space="preserve">11:26</t>
  </si>
  <si>
    <t xml:space="preserve">12:12</t>
  </si>
  <si>
    <t xml:space="preserve">Post-wipe armor: bracket price clamps + notional/BP cap (kills the 422/403 reject storm)</t>
  </si>
  <si>
    <t xml:space="preserve">17:06</t>
  </si>
  <si>
    <t xml:space="preserve">Posture-scaled wheel limits (growth: 1 CSP, 21 DTE, 25% collateral), CSP buy-backs queued</t>
  </si>
  <si>
    <t xml:space="preserve">10:57</t>
  </si>
  <si>
    <t xml:space="preserve">11:08</t>
  </si>
  <si>
    <t xml:space="preserve">Self-calibrating targets: median achieved peak move per strategy caps new targets</t>
  </si>
  <si>
    <t xml:space="preserve">16:34</t>
  </si>
  <si>
    <t xml:space="preserve">ONE SCALE: TCS 0-100 platform-wide (scorer, every floor, bumps, confidence, scope rows)</t>
  </si>
  <si>
    <t xml:space="preserve">12:54</t>
  </si>
  <si>
    <t xml:space="preserve">14:13</t>
  </si>
  <si>
    <t xml:space="preserve">PROJECT_STATUS 2026-07-13 (atom hero, STMS 7A-4P, Sector Compass, wider desks, ETH orphan)</t>
  </si>
  <si>
    <t xml:space="preserve">08:36</t>
  </si>
  <si>
    <t xml:space="preserve">15:07</t>
  </si>
  <si>
    <t xml:space="preserve">Strategy Lab: portfolio-driven pattern charts, market/industry scan with save-as-watchlist</t>
  </si>
  <si>
    <t xml:space="preserve">05:35</t>
  </si>
  <si>
    <t xml:space="preserve">17:23</t>
  </si>
  <si>
    <t xml:space="preserve">Leg-resync hardened: broker-truth quantity + protection-first stop fallback (PYPL partial fill)</t>
  </si>
  <si>
    <t xml:space="preserve">08:07</t>
  </si>
  <si>
    <t xml:space="preserve">19:31</t>
  </si>
  <si>
    <t xml:space="preserve">Harvest one-shot guard re-arms daily: an expired unfilled buy-back retries tomorrow</t>
  </si>
  <si>
    <t xml:space="preserve">10:46</t>
  </si>
  <si>
    <t xml:space="preserve">10:51</t>
  </si>
  <si>
    <t xml:space="preserve">Paper page: forex cards get real numbers (Kraken live spot, Forex badge, forex_swing copy)</t>
  </si>
  <si>
    <t xml:space="preserve">17:02</t>
  </si>
  <si>
    <t xml:space="preserve">17:08</t>
  </si>
  <si>
    <t xml:space="preserve">Stop paying for dead symbols: no-data rest list + warrant filter + quiet yfinance</t>
  </si>
  <si>
    <t xml:space="preserve">04:00</t>
  </si>
  <si>
    <t xml:space="preserve">14:46</t>
  </si>
  <si>
    <t xml:space="preserve">Crypto desk unblocked: coverage floor reaches the scanner, BTC joins the universe</t>
  </si>
  <si>
    <t xml:space="preserve">11:24</t>
  </si>
  <si>
    <t xml:space="preserve">11:33</t>
  </si>
  <si>
    <t xml:space="preserve">HOTFIX: AlpacaAccount dataclass field order (non-default cash after default)</t>
  </si>
  <si>
    <t xml:space="preserve">18:21</t>
  </si>
  <si>
    <t xml:space="preserve">The agents get a voice: evidence-backed rule-change proposals + library that returns craft</t>
  </si>
  <si>
    <t xml:space="preserve">16:24</t>
  </si>
  <si>
    <t xml:space="preserve">21:40</t>
  </si>
  <si>
    <t xml:space="preserve">Security sweep: service installer no longer publishes the trading engine + loopback write-guard</t>
  </si>
  <si>
    <t xml:space="preserve">20:54</t>
  </si>
  <si>
    <t xml:space="preserve">22:36</t>
  </si>
  <si>
    <t xml:space="preserve">Remove the temporary tsconfig.check.json (typecheck scratch file, committed by accident)</t>
  </si>
  <si>
    <t xml:space="preserve">03:11</t>
  </si>
  <si>
    <t xml:space="preserve">23:17</t>
  </si>
  <si>
    <t xml:space="preserve">fix: step profit harvest ran while the market was shut, and a failed leg check read as all-clear</t>
  </si>
  <si>
    <t xml:space="preserve">00:03</t>
  </si>
  <si>
    <t xml:space="preserve">00:05</t>
  </si>
  <si>
    <t xml:space="preserve">hrp: allocation across lanes, and a bugfix it exposed (phase 6, part 1)</t>
  </si>
  <si>
    <t xml:space="preserve">14:30</t>
  </si>
  <si>
    <t xml:space="preserve">fix: scalps had no exit path, and the kill-switch was 33x too tight</t>
  </si>
  <si>
    <t xml:space="preserve">10:55</t>
  </si>
  <si>
    <t xml:space="preserve">14:02</t>
  </si>
  <si>
    <t xml:space="preserve">multi-account: owner/account split, per-book credentials, dividend schedule</t>
  </si>
  <si>
    <t xml:space="preserve">14:12</t>
  </si>
  <si>
    <t xml:space="preserve">scan pool: rank actives by trade count, not share volume</t>
  </si>
  <si>
    <t xml:space="preserve">09:53</t>
  </si>
  <si>
    <t xml:space="preserve">14:56</t>
  </si>
  <si>
    <t xml:space="preserve">dividends: 15k is the 75k sleeve's INITIAL DEPLOYMENT, not a pocket pin</t>
  </si>
  <si>
    <t xml:space="preserve">13:28</t>
  </si>
  <si>
    <t xml:space="preserve">20:28</t>
  </si>
  <si>
    <t xml:space="preserve">requirements: add mem0ai - hand-installed on the PC, so the server venv build failed silently</t>
  </si>
  <si>
    <t xml:space="preserve">09:41</t>
  </si>
  <si>
    <t xml:space="preserve">19:25</t>
  </si>
  <si>
    <t xml:space="preserve">fix: ops relay drains EVERY tick, not once a day - first wiring landed inside the janitor's job</t>
  </si>
  <si>
    <t xml:space="preserve">10:56</t>
  </si>
  <si>
    <t xml:space="preserve">23:58</t>
  </si>
  <si>
    <t xml:space="preserve">Rest the crypto take-profit at the venue, and release it before selling</t>
  </si>
  <si>
    <t xml:space="preserve">23:10</t>
  </si>
  <si>
    <t xml:space="preserve">Profit ladder retuned + rival-engine cleanup + DCA bounce gate + work log tooling</t>
  </si>
  <si>
    <t xml:space="preserve">MANUAL ENTRIES — pre-repo days, research, SQL, server ops, calls</t>
  </si>
  <si>
    <t xml:space="preserve">09:00</t>
  </si>
  <si>
    <t xml:space="preserve">13:30</t>
  </si>
  <si>
    <t xml:space="preserve">example</t>
  </si>
  <si>
    <t xml:space="preserve">EXAMPLE ROW — platform planning, no commits. Delete or overwrite.</t>
  </si>
  <si>
    <t xml:space="preserve">manual</t>
  </si>
  <si>
    <t xml:space="preserve">TOTAL RECORDED HOURS (Era 3)</t>
  </si>
  <si>
    <t xml:space="preserve">ERA 3 MONTHLY SUBTOTALS</t>
  </si>
  <si>
    <t xml:space="preserve">Days recorded</t>
  </si>
  <si>
    <t xml:space="preserve">% of hours</t>
  </si>
  <si>
    <t xml:space="preserve">2026-05</t>
  </si>
  <si>
    <t xml:space="preserve">2026-06</t>
  </si>
  <si>
    <t xml:space="preserve">2026-07</t>
  </si>
  <si>
    <t xml:space="preserve">2026-08</t>
  </si>
  <si>
    <t xml:space="preserve">TOTAL</t>
  </si>
  <si>
    <t xml:space="preserve">2026-05 = 0 until pre-repo work is added as manual rows on the Work Log tab.</t>
  </si>
  <si>
    <t xml:space="preserve">ERA 1 — WOVEN BASKET DEVELOPMENT TIMELINE (imported)</t>
  </si>
  <si>
    <t xml:space="preserve">Imported unchanged from Woven_Basket_Strategy_Development_Timeline.xlsx. Blank durations mean the source does not support an exact interval — hours are NOT RECOVERABLE, not zero.</t>
  </si>
  <si>
    <t xml:space="preserve">Start</t>
  </si>
  <si>
    <t xml:space="preserve">End</t>
  </si>
  <si>
    <t xml:space="preserve">Days</t>
  </si>
  <si>
    <t xml:space="preserve">Document / version</t>
  </si>
  <si>
    <t xml:space="preserve">Work performed</t>
  </si>
  <si>
    <t xml:space="preserve">Evidence</t>
  </si>
  <si>
    <t xml:space="preserve">Classification</t>
  </si>
  <si>
    <t xml:space="preserve">Nokia recurring-premium / protection precursor</t>
  </si>
  <si>
    <t xml:space="preserve">Recurring-premium and portfolio-protection concepts; by June 16: shares, short calls, long puts, roll/management logic.</t>
  </si>
  <si>
    <t xml:space="preserve">ChatGPT task record; turn 6caf0a78…</t>
  </si>
  <si>
    <t xml:space="preserve">VERIFIED milestone; hours unknown</t>
  </si>
  <si>
    <t xml:space="preserve">$2,000/month stock-options system precursor</t>
  </si>
  <si>
    <t xml:space="preserve">2026-01-01</t>
  </si>
  <si>
    <t xml:space="preserve">2026-02-28</t>
  </si>
  <si>
    <t xml:space="preserve">Unrecovered January–February precursor documents</t>
  </si>
  <si>
    <t xml:space="preserve">Extended work and several documents recalled; exact dates, versions and durations not recovered.</t>
  </si>
  <si>
    <t xml:space="preserve">User recollection; no artifact recovered</t>
  </si>
  <si>
    <t xml:space="preserve">INFERRED / USER-RECALLED</t>
  </si>
  <si>
    <t xml:space="preserve">2026-03-01</t>
  </si>
  <si>
    <t xml:space="preserve">2026-03-31</t>
  </si>
  <si>
    <t xml:space="preserve">Unnamed Woven Basket precursor concepts</t>
  </si>
  <si>
    <t xml:space="preserve">March evidence of concepts leading into Woven Basket reported; conversation/date not preserved.</t>
  </si>
  <si>
    <t xml:space="preserve">Assistant statement; turn b21e376d…</t>
  </si>
  <si>
    <t xml:space="preserve">INFERRED milestone; hours unknown</t>
  </si>
  <si>
    <t xml:space="preserve">The Woven Basket Investment Strategy (earliest named; v1-2 or earlier)</t>
  </si>
  <si>
    <t xml:space="preserve">Named strategy: seven interconnected layers, cross-layer protection logic, cash-flow waterfall.</t>
  </si>
  <si>
    <t xml:space="preserve">ChatGPT task record; turns b21e376d…, 4d170423…</t>
  </si>
  <si>
    <t xml:space="preserve">Woven Basket Strategy v1-5 (latest recovered)</t>
  </si>
  <si>
    <t xml:space="preserve">Refined architecture identified as proprietary IP. Culmination point of the reconstruction; finality not independently proven.</t>
  </si>
  <si>
    <t xml:space="preserve">ChatGPT task record; turns 4d170423…, b21e376d…</t>
  </si>
  <si>
    <t xml:space="preserve">Evidence register (E-01…E-05), calculation rules and audit notes remain in the companion file Woven_Basket_Strategy_Development_Timeline.xlsx, which stays the source of record for Era 1.</t>
  </si>
  <si>
    <t xml:space="preserve">METHOD, EVIDENCE TIERS &amp; LIMITS</t>
  </si>
  <si>
    <t xml:space="preserve">Purpose</t>
  </si>
  <si>
    <t xml:space="preserve">A single good-faith business record of the development of the Woven Basket strategy and the Trezo platform that implements it, suitable for personal accountability records. It shows continuous work from June 2025 to the present while never claiming more precision than the evidence supports.</t>
  </si>
  <si>
    <t xml:space="preserve">Evidence tiers</t>
  </si>
  <si>
    <t xml:space="preserve">HIGH: git commit history and filesystem timestamps — independently verifiable. MEDIUM: recovered conversation records naming dates and artifacts. LOW: user recollection without a recovered artifact — kept for context, never counted in hours.</t>
  </si>
  <si>
    <t xml:space="preserve">Hours policy</t>
  </si>
  <si>
    <t xml:space="preserve">Hours appear ONLY where evidence supports them. Era 3's total is a floor derived from commit-day spans (tools/worklog.py in the repo regenerates it). Eras 1–2 say 'not recoverable' rather than reporting a false zero or an invented estimate. Original chat timestamps or document version histories, if recovered later, can be added as manual rows to upgrade the record.</t>
  </si>
  <si>
    <t xml:space="preserve">Continuity</t>
  </si>
  <si>
    <t xml:space="preserve">The two records overlap by design: the first Trezo folder (2026-05-15 15:43:15) predates Woven Basket v1-5 (2026-05-17). The strategy was being finalized as its implementation began — Era 1 flows into Era 3 without a gap.</t>
  </si>
  <si>
    <t xml:space="preserve">Classification of activity</t>
  </si>
  <si>
    <t xml:space="preserve">Era 1: research &amp; development, strategy development, IP development. Era 2: system development (foundation). Era 3: system development, revision, documentation — per-day detail on the Work Log tab.</t>
  </si>
  <si>
    <t xml:space="preserve">If this is used for business records</t>
  </si>
  <si>
    <t xml:space="preserve">This workbook provides dates, evidence and hour floors. Whether any of it is claimable as business time or expense is a question for a CPA.</t>
  </si>
</sst>
</file>

<file path=xl/styles.xml><?xml version="1.0" encoding="utf-8"?>
<styleSheet xmlns="http://schemas.openxmlformats.org/spreadsheetml/2006/main">
  <numFmts count="6">
    <numFmt numFmtId="164" formatCode="General"/>
    <numFmt numFmtId="165" formatCode="yyyy\-mm\-dd"/>
    <numFmt numFmtId="166" formatCode="0"/>
    <numFmt numFmtId="167" formatCode="0.00"/>
    <numFmt numFmtId="168" formatCode="0.0%"/>
    <numFmt numFmtId="169"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9"/>
      <color rgb="FF595959"/>
      <name val="Arial"/>
      <family val="0"/>
      <charset val="1"/>
    </font>
    <font>
      <b val="true"/>
      <sz val="10"/>
      <color rgb="FF1F3864"/>
      <name val="Arial"/>
      <family val="0"/>
      <charset val="1"/>
    </font>
    <font>
      <sz val="10"/>
      <color rgb="FF000000"/>
      <name val="Arial"/>
      <family val="0"/>
      <charset val="1"/>
    </font>
    <font>
      <b val="true"/>
      <sz val="10"/>
      <color rgb="FF0000FF"/>
      <name val="Arial"/>
      <family val="0"/>
      <charset val="1"/>
    </font>
    <font>
      <b val="true"/>
      <sz val="10"/>
      <color rgb="FF000000"/>
      <name val="Arial"/>
      <family val="0"/>
      <charset val="1"/>
    </font>
    <font>
      <i val="true"/>
      <sz val="8"/>
      <color rgb="FF808080"/>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i val="true"/>
      <sz val="8"/>
      <color rgb="FF000000"/>
      <name val="Arial"/>
      <family val="0"/>
      <charset val="1"/>
    </font>
    <font>
      <b val="true"/>
      <sz val="10"/>
      <color rgb="FFC00000"/>
      <name val="Arial"/>
      <family val="0"/>
      <charset val="1"/>
    </font>
    <font>
      <b val="true"/>
      <sz val="14"/>
      <color rgb="FF1F3864"/>
      <name val="Arial"/>
      <family val="0"/>
      <charset val="1"/>
    </font>
    <font>
      <i val="true"/>
      <sz val="9"/>
      <color rgb="FF595959"/>
      <name val="Arial"/>
      <family val="0"/>
      <charset val="1"/>
    </font>
    <font>
      <i val="true"/>
      <sz val="9"/>
      <color rgb="FF808080"/>
      <name val="Arial"/>
      <family val="0"/>
      <charset val="1"/>
    </font>
    <font>
      <sz val="9"/>
      <color rgb="FF808080"/>
      <name val="Arial"/>
      <family val="0"/>
      <charset val="1"/>
    </font>
    <font>
      <b val="true"/>
      <sz val="11"/>
      <color rgb="FF1F3864"/>
      <name val="Arial"/>
      <family val="0"/>
      <charset val="1"/>
    </font>
    <font>
      <b val="true"/>
      <sz val="11"/>
      <color rgb="FF000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FE699"/>
        <bgColor rgb="FFFFCC99"/>
      </patternFill>
    </fill>
    <fill>
      <patternFill patternType="solid">
        <fgColor rgb="FFE2EFDA"/>
        <bgColor rgb="FFD9E2F3"/>
      </patternFill>
    </fill>
    <fill>
      <patternFill patternType="solid">
        <fgColor rgb="FFD9E2F3"/>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7"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7" fontId="1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5" fontId="13" fillId="2"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bottom" textRotation="0" wrapText="false" indent="0" shrinkToFit="false"/>
      <protection locked="true" hidden="false"/>
    </xf>
    <xf numFmtId="167" fontId="13" fillId="2"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7" fontId="21" fillId="6"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4" fontId="20" fillId="6" borderId="1" xfId="0" applyFont="true" applyBorder="true" applyAlignment="false" applyProtection="false">
      <alignment horizontal="general" vertical="bottom" textRotation="0" wrapText="false" indent="0" shrinkToFit="false"/>
      <protection locked="true" hidden="false"/>
    </xf>
    <xf numFmtId="169" fontId="21" fillId="6" borderId="1" xfId="0" applyFont="true" applyBorder="true" applyAlignment="true" applyProtection="false">
      <alignment horizontal="center" vertical="bottom" textRotation="0" wrapText="false" indent="0" shrinkToFit="false"/>
      <protection locked="true" hidden="false"/>
    </xf>
    <xf numFmtId="167" fontId="21" fillId="6" borderId="1" xfId="0" applyFont="true" applyBorder="true" applyAlignment="true" applyProtection="false">
      <alignment horizontal="center" vertical="bottom" textRotation="0" wrapText="false" indent="0" shrinkToFit="false"/>
      <protection locked="true" hidden="false"/>
    </xf>
    <xf numFmtId="168" fontId="21" fillId="6"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52"/>
    <col collapsed="false" customWidth="true" hidden="false" outlineLevel="0" max="4" min="4" style="0" width="16"/>
    <col collapsed="false" customWidth="true" hidden="false" outlineLevel="0" max="5" min="5" style="0" width="42"/>
    <col collapsed="false" customWidth="true" hidden="false" outlineLevel="0" max="6" min="6" style="0" width="1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C5" s="5" t="n">
        <v>45819</v>
      </c>
    </row>
    <row r="6" customFormat="false" ht="15" hidden="false" customHeight="false" outlineLevel="0" collapsed="false">
      <c r="A6" s="4" t="s">
        <v>4</v>
      </c>
      <c r="C6" s="6" t="n">
        <v>46253</v>
      </c>
    </row>
    <row r="8" customFormat="false" ht="15" hidden="false" customHeight="false" outlineLevel="0" collapsed="false">
      <c r="A8" s="3" t="s">
        <v>5</v>
      </c>
    </row>
    <row r="9" customFormat="false" ht="15" hidden="false" customHeight="false" outlineLevel="0" collapsed="false">
      <c r="A9" s="4" t="s">
        <v>6</v>
      </c>
      <c r="C9" s="7" t="n">
        <f aca="false">$C$6-$C$5</f>
        <v>434</v>
      </c>
    </row>
    <row r="10" customFormat="false" ht="15" hidden="false" customHeight="false" outlineLevel="0" collapsed="false">
      <c r="A10" s="4" t="s">
        <v>7</v>
      </c>
      <c r="C10" s="7" t="n">
        <f aca="false">$C$6-$C$5+1</f>
        <v>435</v>
      </c>
    </row>
    <row r="11" customFormat="false" ht="15" hidden="false" customHeight="false" outlineLevel="0" collapsed="false">
      <c r="A11" s="4" t="s">
        <v>8</v>
      </c>
      <c r="C11" s="7" t="n">
        <f aca="false">INT(($C$6-$C$5)/7)</f>
        <v>62</v>
      </c>
    </row>
    <row r="12" customFormat="false" ht="15" hidden="false" customHeight="false" outlineLevel="0" collapsed="false">
      <c r="A12" s="4" t="s">
        <v>9</v>
      </c>
      <c r="C12" s="7" t="n">
        <f aca="false">MOD($C$6-$C$5,7)</f>
        <v>0</v>
      </c>
    </row>
    <row r="13" customFormat="false" ht="15" hidden="false" customHeight="false" outlineLevel="0" collapsed="false">
      <c r="A13" s="4" t="s">
        <v>10</v>
      </c>
      <c r="C13" s="8" t="n">
        <f aca="false">($C$6-$C$5)/30.4375</f>
        <v>14.258726899384</v>
      </c>
    </row>
    <row r="14" customFormat="false" ht="15" hidden="false" customHeight="false" outlineLevel="0" collapsed="false">
      <c r="A14" s="4" t="s">
        <v>11</v>
      </c>
      <c r="C14" s="9" t="s">
        <v>12</v>
      </c>
      <c r="D14" s="10" t="s">
        <v>13</v>
      </c>
    </row>
    <row r="16" customFormat="false" ht="15" hidden="false" customHeight="false" outlineLevel="0" collapsed="false">
      <c r="A16" s="3" t="s">
        <v>14</v>
      </c>
    </row>
    <row r="17" customFormat="false" ht="15" hidden="false" customHeight="false" outlineLevel="0" collapsed="false">
      <c r="A17" s="11" t="s">
        <v>15</v>
      </c>
      <c r="B17" s="11" t="s">
        <v>16</v>
      </c>
      <c r="C17" s="11" t="s">
        <v>17</v>
      </c>
      <c r="D17" s="11" t="s">
        <v>18</v>
      </c>
      <c r="E17" s="11" t="s">
        <v>19</v>
      </c>
    </row>
    <row r="18" customFormat="false" ht="51.75" hidden="false" customHeight="true" outlineLevel="0" collapsed="false">
      <c r="A18" s="12" t="s">
        <v>20</v>
      </c>
      <c r="B18" s="13" t="s">
        <v>21</v>
      </c>
      <c r="C18" s="13" t="s">
        <v>22</v>
      </c>
      <c r="D18" s="12" t="s">
        <v>23</v>
      </c>
      <c r="E18" s="14" t="s">
        <v>24</v>
      </c>
    </row>
    <row r="19" customFormat="false" ht="51.75" hidden="false" customHeight="true" outlineLevel="0" collapsed="false">
      <c r="A19" s="12" t="s">
        <v>25</v>
      </c>
      <c r="B19" s="13" t="s">
        <v>26</v>
      </c>
      <c r="C19" s="13" t="s">
        <v>27</v>
      </c>
      <c r="D19" s="12" t="s">
        <v>23</v>
      </c>
      <c r="E19" s="14" t="s">
        <v>28</v>
      </c>
    </row>
    <row r="20" customFormat="false" ht="51.75" hidden="false" customHeight="true" outlineLevel="0" collapsed="false">
      <c r="A20" s="15" t="s">
        <v>29</v>
      </c>
      <c r="B20" s="16" t="s">
        <v>30</v>
      </c>
      <c r="C20" s="16" t="s">
        <v>31</v>
      </c>
      <c r="D20" s="15" t="str">
        <f aca="false">"≥ "&amp;TEXT('Work Log (Trezo)'!F88,"0.0")&amp;" h (floor)"</f>
        <v>≥ 218.3 h (floor)</v>
      </c>
      <c r="E20" s="17" t="s">
        <v>32</v>
      </c>
    </row>
    <row r="22" customFormat="false" ht="15" hidden="false" customHeight="false" outlineLevel="0" collapsed="false">
      <c r="A22" s="18" t="s">
        <v>33</v>
      </c>
    </row>
    <row r="23" customFormat="false" ht="15" hidden="false" customHeight="true" outlineLevel="0" collapsed="false">
      <c r="A23" s="19" t="s">
        <v>34</v>
      </c>
      <c r="B23" s="19"/>
      <c r="C23" s="19"/>
      <c r="D23" s="19"/>
      <c r="E23" s="19"/>
      <c r="F23" s="19"/>
    </row>
    <row r="24" customFormat="false" ht="15" hidden="false" customHeight="false" outlineLevel="0" collapsed="false">
      <c r="A24" s="19"/>
      <c r="B24" s="19"/>
      <c r="C24" s="19"/>
      <c r="D24" s="19"/>
      <c r="E24" s="19"/>
      <c r="F24" s="19"/>
    </row>
    <row r="25" customFormat="false" ht="15" hidden="false" customHeight="false" outlineLevel="0" collapsed="false">
      <c r="A25" s="19"/>
      <c r="B25" s="19"/>
      <c r="C25" s="19"/>
      <c r="D25" s="19"/>
      <c r="E25" s="19"/>
      <c r="F25" s="19"/>
    </row>
    <row r="26" customFormat="false" ht="15" hidden="false" customHeight="false" outlineLevel="0" collapsed="false">
      <c r="A26" s="19"/>
      <c r="B26" s="19"/>
      <c r="C26" s="19"/>
      <c r="D26" s="19"/>
      <c r="E26" s="19"/>
      <c r="F26" s="19"/>
    </row>
  </sheetData>
  <mergeCells count="1">
    <mergeCell ref="A23: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20"/>
    <col collapsed="false" customWidth="true" hidden="false" outlineLevel="0" max="4" min="4" style="0" width="72"/>
    <col collapsed="false" customWidth="true" hidden="false" outlineLevel="0" max="5" min="5" style="0" width="40"/>
    <col collapsed="false" customWidth="true" hidden="false" outlineLevel="0" max="6" min="6" style="0" width="12"/>
  </cols>
  <sheetData>
    <row r="1" customFormat="false" ht="17.35" hidden="false" customHeight="false" outlineLevel="0" collapsed="false">
      <c r="A1" s="20" t="s">
        <v>35</v>
      </c>
    </row>
    <row r="2" customFormat="false" ht="15" hidden="false" customHeight="false" outlineLevel="0" collapsed="false">
      <c r="A2" s="21" t="s">
        <v>36</v>
      </c>
    </row>
    <row r="4" customFormat="false" ht="15" hidden="false" customHeight="false" outlineLevel="0" collapsed="false">
      <c r="A4" s="11" t="s">
        <v>37</v>
      </c>
      <c r="B4" s="11" t="s">
        <v>15</v>
      </c>
      <c r="C4" s="11" t="s">
        <v>38</v>
      </c>
      <c r="D4" s="11" t="s">
        <v>39</v>
      </c>
      <c r="E4" s="11" t="s">
        <v>40</v>
      </c>
      <c r="F4" s="11" t="s">
        <v>41</v>
      </c>
    </row>
    <row r="5" customFormat="false" ht="30" hidden="false" customHeight="true" outlineLevel="0" collapsed="false">
      <c r="A5" s="22" t="s">
        <v>42</v>
      </c>
      <c r="B5" s="22" t="n">
        <v>1</v>
      </c>
      <c r="C5" s="23" t="s">
        <v>43</v>
      </c>
      <c r="D5" s="23" t="s">
        <v>44</v>
      </c>
      <c r="E5" s="23" t="s">
        <v>45</v>
      </c>
      <c r="F5" s="22" t="s">
        <v>46</v>
      </c>
    </row>
    <row r="6" customFormat="false" ht="30" hidden="false" customHeight="true" outlineLevel="0" collapsed="false">
      <c r="A6" s="22" t="s">
        <v>47</v>
      </c>
      <c r="B6" s="22" t="n">
        <v>1</v>
      </c>
      <c r="C6" s="23" t="s">
        <v>43</v>
      </c>
      <c r="D6" s="23" t="s">
        <v>48</v>
      </c>
      <c r="E6" s="23" t="s">
        <v>45</v>
      </c>
      <c r="F6" s="22" t="s">
        <v>46</v>
      </c>
    </row>
    <row r="7" customFormat="false" ht="30" hidden="false" customHeight="true" outlineLevel="0" collapsed="false">
      <c r="A7" s="22" t="s">
        <v>49</v>
      </c>
      <c r="B7" s="22" t="n">
        <v>1</v>
      </c>
      <c r="C7" s="23" t="s">
        <v>50</v>
      </c>
      <c r="D7" s="23" t="s">
        <v>51</v>
      </c>
      <c r="E7" s="23" t="s">
        <v>45</v>
      </c>
      <c r="F7" s="22" t="s">
        <v>46</v>
      </c>
    </row>
    <row r="8" customFormat="false" ht="30" hidden="false" customHeight="true" outlineLevel="0" collapsed="false">
      <c r="A8" s="24" t="s">
        <v>52</v>
      </c>
      <c r="B8" s="24" t="n">
        <v>1</v>
      </c>
      <c r="C8" s="25" t="s">
        <v>53</v>
      </c>
      <c r="D8" s="25" t="s">
        <v>54</v>
      </c>
      <c r="E8" s="25" t="s">
        <v>55</v>
      </c>
      <c r="F8" s="24" t="s">
        <v>56</v>
      </c>
    </row>
    <row r="9" customFormat="false" ht="30" hidden="false" customHeight="true" outlineLevel="0" collapsed="false">
      <c r="A9" s="24" t="s">
        <v>57</v>
      </c>
      <c r="B9" s="24" t="n">
        <v>1</v>
      </c>
      <c r="C9" s="25" t="s">
        <v>53</v>
      </c>
      <c r="D9" s="25" t="s">
        <v>58</v>
      </c>
      <c r="E9" s="25" t="s">
        <v>59</v>
      </c>
      <c r="F9" s="24" t="s">
        <v>56</v>
      </c>
    </row>
    <row r="10" customFormat="false" ht="30" hidden="false" customHeight="true" outlineLevel="0" collapsed="false">
      <c r="A10" s="22" t="s">
        <v>60</v>
      </c>
      <c r="B10" s="22" t="n">
        <v>1</v>
      </c>
      <c r="C10" s="23" t="s">
        <v>61</v>
      </c>
      <c r="D10" s="23" t="s">
        <v>62</v>
      </c>
      <c r="E10" s="23" t="s">
        <v>63</v>
      </c>
      <c r="F10" s="22" t="s">
        <v>46</v>
      </c>
    </row>
    <row r="11" customFormat="false" ht="30" hidden="false" customHeight="true" outlineLevel="0" collapsed="false">
      <c r="A11" s="22" t="s">
        <v>64</v>
      </c>
      <c r="B11" s="22" t="n">
        <v>2</v>
      </c>
      <c r="C11" s="23" t="s">
        <v>43</v>
      </c>
      <c r="D11" s="23" t="s">
        <v>65</v>
      </c>
      <c r="E11" s="23" t="s">
        <v>66</v>
      </c>
      <c r="F11" s="22" t="s">
        <v>67</v>
      </c>
    </row>
    <row r="12" customFormat="false" ht="30" hidden="false" customHeight="true" outlineLevel="0" collapsed="false">
      <c r="A12" s="22" t="s">
        <v>68</v>
      </c>
      <c r="B12" s="22" t="n">
        <v>1</v>
      </c>
      <c r="C12" s="23" t="s">
        <v>69</v>
      </c>
      <c r="D12" s="23" t="s">
        <v>70</v>
      </c>
      <c r="E12" s="23" t="s">
        <v>71</v>
      </c>
      <c r="F12" s="22" t="s">
        <v>46</v>
      </c>
    </row>
    <row r="13" customFormat="false" ht="30" hidden="false" customHeight="true" outlineLevel="0" collapsed="false">
      <c r="A13" s="22" t="s">
        <v>72</v>
      </c>
      <c r="B13" s="22" t="n">
        <v>3</v>
      </c>
      <c r="C13" s="23" t="s">
        <v>73</v>
      </c>
      <c r="D13" s="23" t="s">
        <v>74</v>
      </c>
      <c r="E13" s="23" t="s">
        <v>75</v>
      </c>
      <c r="F13" s="22" t="s">
        <v>67</v>
      </c>
    </row>
    <row r="14" customFormat="false" ht="30" hidden="false" customHeight="true" outlineLevel="0" collapsed="false">
      <c r="A14" s="22" t="s">
        <v>76</v>
      </c>
      <c r="B14" s="22" t="n">
        <v>3</v>
      </c>
      <c r="C14" s="23" t="s">
        <v>77</v>
      </c>
      <c r="D14" s="23" t="s">
        <v>78</v>
      </c>
      <c r="E14" s="23" t="s">
        <v>79</v>
      </c>
      <c r="F14" s="22" t="s">
        <v>67</v>
      </c>
    </row>
    <row r="15" customFormat="false" ht="30" hidden="false" customHeight="true" outlineLevel="0" collapsed="false">
      <c r="A15" s="22" t="s">
        <v>80</v>
      </c>
      <c r="B15" s="22" t="n">
        <v>3</v>
      </c>
      <c r="C15" s="23" t="s">
        <v>81</v>
      </c>
      <c r="D15" s="23" t="s">
        <v>82</v>
      </c>
      <c r="E15" s="23" t="s">
        <v>83</v>
      </c>
      <c r="F15" s="22" t="s">
        <v>67</v>
      </c>
    </row>
    <row r="16" customFormat="false" ht="30" hidden="false" customHeight="true" outlineLevel="0" collapsed="false">
      <c r="A16" s="22" t="s">
        <v>84</v>
      </c>
      <c r="B16" s="22" t="n">
        <v>3</v>
      </c>
      <c r="C16" s="23" t="s">
        <v>85</v>
      </c>
      <c r="D16" s="23" t="s">
        <v>86</v>
      </c>
      <c r="E16" s="23" t="s">
        <v>87</v>
      </c>
      <c r="F16" s="22" t="s">
        <v>67</v>
      </c>
    </row>
    <row r="17" customFormat="false" ht="30" hidden="false" customHeight="true" outlineLevel="0" collapsed="false">
      <c r="A17" s="22" t="s">
        <v>88</v>
      </c>
      <c r="B17" s="22" t="n">
        <v>3</v>
      </c>
      <c r="C17" s="23" t="s">
        <v>89</v>
      </c>
      <c r="D17" s="23" t="s">
        <v>90</v>
      </c>
      <c r="E17" s="23" t="s">
        <v>75</v>
      </c>
      <c r="F17" s="22" t="s">
        <v>67</v>
      </c>
    </row>
    <row r="18" customFormat="false" ht="30" hidden="false" customHeight="true" outlineLevel="0" collapsed="false">
      <c r="A18" s="22" t="s">
        <v>91</v>
      </c>
      <c r="B18" s="22" t="n">
        <v>3</v>
      </c>
      <c r="C18" s="23" t="s">
        <v>92</v>
      </c>
      <c r="D18" s="23" t="s">
        <v>93</v>
      </c>
      <c r="E18" s="23" t="s">
        <v>83</v>
      </c>
      <c r="F18" s="22" t="s">
        <v>67</v>
      </c>
    </row>
    <row r="19" customFormat="false" ht="30" hidden="false" customHeight="true" outlineLevel="0" collapsed="false">
      <c r="A19" s="22" t="s">
        <v>94</v>
      </c>
      <c r="B19" s="22" t="n">
        <v>3</v>
      </c>
      <c r="C19" s="23" t="s">
        <v>95</v>
      </c>
      <c r="D19" s="23" t="s">
        <v>96</v>
      </c>
      <c r="E19" s="23" t="s">
        <v>97</v>
      </c>
      <c r="F19" s="22" t="s">
        <v>67</v>
      </c>
    </row>
    <row r="20" customFormat="false" ht="30" hidden="false" customHeight="true" outlineLevel="0" collapsed="false">
      <c r="A20" s="22" t="s">
        <v>98</v>
      </c>
      <c r="B20" s="22" t="n">
        <v>3</v>
      </c>
      <c r="C20" s="23" t="s">
        <v>99</v>
      </c>
      <c r="D20" s="23" t="s">
        <v>100</v>
      </c>
      <c r="E20" s="23" t="s">
        <v>101</v>
      </c>
      <c r="F20" s="22" t="s">
        <v>67</v>
      </c>
    </row>
    <row r="21" customFormat="false" ht="30" hidden="false" customHeight="true" outlineLevel="0" collapsed="false">
      <c r="A21" s="22" t="s">
        <v>102</v>
      </c>
      <c r="B21" s="22" t="n">
        <v>3</v>
      </c>
      <c r="C21" s="23" t="s">
        <v>77</v>
      </c>
      <c r="D21" s="23" t="s">
        <v>103</v>
      </c>
      <c r="E21" s="23" t="s">
        <v>104</v>
      </c>
      <c r="F21" s="22" t="s">
        <v>67</v>
      </c>
    </row>
    <row r="22" customFormat="false" ht="30" hidden="false" customHeight="true" outlineLevel="0" collapsed="false">
      <c r="A22" s="22" t="s">
        <v>105</v>
      </c>
      <c r="B22" s="22" t="n">
        <v>3</v>
      </c>
      <c r="C22" s="23" t="s">
        <v>106</v>
      </c>
      <c r="D22" s="23" t="s">
        <v>107</v>
      </c>
      <c r="E22" s="23" t="s">
        <v>101</v>
      </c>
      <c r="F22" s="22" t="s">
        <v>67</v>
      </c>
    </row>
    <row r="23" customFormat="false" ht="30" hidden="false" customHeight="true" outlineLevel="0" collapsed="false">
      <c r="A23" s="22" t="s">
        <v>108</v>
      </c>
      <c r="B23" s="22" t="n">
        <v>3</v>
      </c>
      <c r="C23" s="23" t="s">
        <v>109</v>
      </c>
      <c r="D23" s="23" t="s">
        <v>110</v>
      </c>
      <c r="E23" s="23" t="s">
        <v>111</v>
      </c>
      <c r="F23" s="22" t="s">
        <v>67</v>
      </c>
    </row>
    <row r="24" customFormat="false" ht="30" hidden="false" customHeight="true" outlineLevel="0" collapsed="false">
      <c r="A24" s="22" t="s">
        <v>112</v>
      </c>
      <c r="B24" s="22" t="n">
        <v>3</v>
      </c>
      <c r="C24" s="23" t="s">
        <v>113</v>
      </c>
      <c r="D24" s="23" t="s">
        <v>114</v>
      </c>
      <c r="E24" s="23" t="s">
        <v>115</v>
      </c>
      <c r="F24" s="22" t="s">
        <v>67</v>
      </c>
    </row>
    <row r="26" customFormat="false" ht="15" hidden="false" customHeight="false" outlineLevel="0" collapsed="false">
      <c r="A26" s="10"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9"/>
    <col collapsed="false" customWidth="true" hidden="false" outlineLevel="0" max="5" min="4" style="0" width="8"/>
    <col collapsed="false" customWidth="true" hidden="false" outlineLevel="0" max="6" min="6" style="0" width="9"/>
    <col collapsed="false" customWidth="true" hidden="false" outlineLevel="0" max="7" min="7" style="0" width="10"/>
    <col collapsed="false" customWidth="true" hidden="false" outlineLevel="0" max="8" min="8" style="0" width="92"/>
  </cols>
  <sheetData>
    <row r="1" customFormat="false" ht="17.35" hidden="false" customHeight="false" outlineLevel="0" collapsed="false">
      <c r="A1" s="20" t="s">
        <v>117</v>
      </c>
    </row>
    <row r="2" customFormat="false" ht="15" hidden="false" customHeight="false" outlineLevel="0" collapsed="false">
      <c r="A2" s="21" t="s">
        <v>118</v>
      </c>
    </row>
    <row r="4" customFormat="false" ht="15" hidden="false" customHeight="false" outlineLevel="0" collapsed="false">
      <c r="A4" s="11" t="s">
        <v>37</v>
      </c>
      <c r="B4" s="11" t="s">
        <v>119</v>
      </c>
      <c r="C4" s="11" t="s">
        <v>120</v>
      </c>
      <c r="D4" s="11" t="s">
        <v>121</v>
      </c>
      <c r="E4" s="11" t="s">
        <v>122</v>
      </c>
      <c r="F4" s="11" t="s">
        <v>18</v>
      </c>
      <c r="G4" s="11" t="s">
        <v>123</v>
      </c>
      <c r="H4" s="11" t="s">
        <v>124</v>
      </c>
    </row>
    <row r="5" customFormat="false" ht="15" hidden="false" customHeight="false" outlineLevel="0" collapsed="false">
      <c r="A5" s="26" t="n">
        <v>46174</v>
      </c>
      <c r="B5" s="27" t="str">
        <f aca="false">TEXT(A5,"YYYY-MM")</f>
        <v>2026-06</v>
      </c>
      <c r="C5" s="27" t="n">
        <v>1</v>
      </c>
      <c r="D5" s="27" t="s">
        <v>125</v>
      </c>
      <c r="E5" s="27" t="s">
        <v>125</v>
      </c>
      <c r="F5" s="28" t="n">
        <v>1</v>
      </c>
      <c r="G5" s="27" t="s">
        <v>126</v>
      </c>
      <c r="H5" s="29" t="s">
        <v>127</v>
      </c>
    </row>
    <row r="6" customFormat="false" ht="15" hidden="false" customHeight="false" outlineLevel="0" collapsed="false">
      <c r="A6" s="26" t="n">
        <v>46176</v>
      </c>
      <c r="B6" s="27" t="str">
        <f aca="false">TEXT(A6,"YYYY-MM")</f>
        <v>2026-06</v>
      </c>
      <c r="C6" s="27" t="n">
        <v>1</v>
      </c>
      <c r="D6" s="27" t="s">
        <v>128</v>
      </c>
      <c r="E6" s="27" t="s">
        <v>128</v>
      </c>
      <c r="F6" s="28" t="n">
        <v>1</v>
      </c>
      <c r="G6" s="27" t="s">
        <v>126</v>
      </c>
      <c r="H6" s="29" t="s">
        <v>129</v>
      </c>
    </row>
    <row r="7" customFormat="false" ht="15" hidden="false" customHeight="false" outlineLevel="0" collapsed="false">
      <c r="A7" s="26" t="n">
        <v>46177</v>
      </c>
      <c r="B7" s="27" t="str">
        <f aca="false">TEXT(A7,"YYYY-MM")</f>
        <v>2026-06</v>
      </c>
      <c r="C7" s="27" t="n">
        <v>1</v>
      </c>
      <c r="D7" s="27" t="s">
        <v>130</v>
      </c>
      <c r="E7" s="27" t="s">
        <v>130</v>
      </c>
      <c r="F7" s="28" t="n">
        <v>1</v>
      </c>
      <c r="G7" s="27" t="s">
        <v>126</v>
      </c>
      <c r="H7" s="29" t="s">
        <v>131</v>
      </c>
    </row>
    <row r="8" customFormat="false" ht="15" hidden="false" customHeight="false" outlineLevel="0" collapsed="false">
      <c r="A8" s="26" t="n">
        <v>46185</v>
      </c>
      <c r="B8" s="27" t="str">
        <f aca="false">TEXT(A8,"YYYY-MM")</f>
        <v>2026-06</v>
      </c>
      <c r="C8" s="27" t="n">
        <v>3</v>
      </c>
      <c r="D8" s="27" t="s">
        <v>132</v>
      </c>
      <c r="E8" s="27" t="s">
        <v>133</v>
      </c>
      <c r="F8" s="28" t="n">
        <v>19.63</v>
      </c>
      <c r="G8" s="27" t="s">
        <v>126</v>
      </c>
      <c r="H8" s="29" t="s">
        <v>134</v>
      </c>
    </row>
    <row r="9" customFormat="false" ht="15" hidden="false" customHeight="false" outlineLevel="0" collapsed="false">
      <c r="A9" s="26" t="n">
        <v>46186</v>
      </c>
      <c r="B9" s="27" t="str">
        <f aca="false">TEXT(A9,"YYYY-MM")</f>
        <v>2026-06</v>
      </c>
      <c r="C9" s="27" t="n">
        <v>10</v>
      </c>
      <c r="D9" s="27" t="s">
        <v>135</v>
      </c>
      <c r="E9" s="27" t="s">
        <v>136</v>
      </c>
      <c r="F9" s="28" t="n">
        <v>14.28</v>
      </c>
      <c r="G9" s="27" t="s">
        <v>126</v>
      </c>
      <c r="H9" s="29" t="s">
        <v>137</v>
      </c>
    </row>
    <row r="10" customFormat="false" ht="15" hidden="false" customHeight="false" outlineLevel="0" collapsed="false">
      <c r="A10" s="26" t="n">
        <v>46189</v>
      </c>
      <c r="B10" s="27" t="str">
        <f aca="false">TEXT(A10,"YYYY-MM")</f>
        <v>2026-06</v>
      </c>
      <c r="C10" s="27" t="n">
        <v>1</v>
      </c>
      <c r="D10" s="27" t="s">
        <v>138</v>
      </c>
      <c r="E10" s="27" t="s">
        <v>138</v>
      </c>
      <c r="F10" s="28" t="n">
        <v>1</v>
      </c>
      <c r="G10" s="27" t="s">
        <v>126</v>
      </c>
      <c r="H10" s="29" t="s">
        <v>139</v>
      </c>
    </row>
    <row r="11" customFormat="false" ht="15" hidden="false" customHeight="false" outlineLevel="0" collapsed="false">
      <c r="A11" s="26" t="n">
        <v>46190</v>
      </c>
      <c r="B11" s="27" t="str">
        <f aca="false">TEXT(A11,"YYYY-MM")</f>
        <v>2026-06</v>
      </c>
      <c r="C11" s="27" t="n">
        <v>2</v>
      </c>
      <c r="D11" s="27" t="s">
        <v>140</v>
      </c>
      <c r="E11" s="27" t="s">
        <v>141</v>
      </c>
      <c r="F11" s="28" t="n">
        <v>6.28</v>
      </c>
      <c r="G11" s="27" t="s">
        <v>126</v>
      </c>
      <c r="H11" s="29" t="s">
        <v>142</v>
      </c>
    </row>
    <row r="12" customFormat="false" ht="15" hidden="false" customHeight="false" outlineLevel="0" collapsed="false">
      <c r="A12" s="26" t="n">
        <v>46192</v>
      </c>
      <c r="B12" s="27" t="str">
        <f aca="false">TEXT(A12,"YYYY-MM")</f>
        <v>2026-06</v>
      </c>
      <c r="C12" s="27" t="n">
        <v>9</v>
      </c>
      <c r="D12" s="27" t="s">
        <v>143</v>
      </c>
      <c r="E12" s="27" t="s">
        <v>144</v>
      </c>
      <c r="F12" s="28" t="n">
        <v>11.88</v>
      </c>
      <c r="G12" s="27" t="s">
        <v>126</v>
      </c>
      <c r="H12" s="29" t="s">
        <v>145</v>
      </c>
    </row>
    <row r="13" customFormat="false" ht="15" hidden="false" customHeight="false" outlineLevel="0" collapsed="false">
      <c r="A13" s="26" t="n">
        <v>46196</v>
      </c>
      <c r="B13" s="27" t="str">
        <f aca="false">TEXT(A13,"YYYY-MM")</f>
        <v>2026-06</v>
      </c>
      <c r="C13" s="27" t="n">
        <v>2</v>
      </c>
      <c r="D13" s="27" t="s">
        <v>146</v>
      </c>
      <c r="E13" s="27" t="s">
        <v>147</v>
      </c>
      <c r="F13" s="28" t="n">
        <v>1</v>
      </c>
      <c r="G13" s="27" t="s">
        <v>126</v>
      </c>
      <c r="H13" s="29" t="s">
        <v>148</v>
      </c>
    </row>
    <row r="14" customFormat="false" ht="15" hidden="false" customHeight="false" outlineLevel="0" collapsed="false">
      <c r="A14" s="26" t="n">
        <v>46199</v>
      </c>
      <c r="B14" s="27" t="str">
        <f aca="false">TEXT(A14,"YYYY-MM")</f>
        <v>2026-06</v>
      </c>
      <c r="C14" s="27" t="n">
        <v>3</v>
      </c>
      <c r="D14" s="27" t="s">
        <v>149</v>
      </c>
      <c r="E14" s="27" t="s">
        <v>150</v>
      </c>
      <c r="F14" s="28" t="n">
        <v>1</v>
      </c>
      <c r="G14" s="27" t="s">
        <v>126</v>
      </c>
      <c r="H14" s="29" t="s">
        <v>151</v>
      </c>
    </row>
    <row r="15" customFormat="false" ht="15" hidden="false" customHeight="false" outlineLevel="0" collapsed="false">
      <c r="A15" s="26" t="n">
        <v>46202</v>
      </c>
      <c r="B15" s="27" t="str">
        <f aca="false">TEXT(A15,"YYYY-MM")</f>
        <v>2026-06</v>
      </c>
      <c r="C15" s="27" t="n">
        <v>3</v>
      </c>
      <c r="D15" s="27" t="s">
        <v>152</v>
      </c>
      <c r="E15" s="27" t="s">
        <v>153</v>
      </c>
      <c r="F15" s="28" t="n">
        <v>2.38</v>
      </c>
      <c r="G15" s="27" t="s">
        <v>126</v>
      </c>
      <c r="H15" s="29" t="s">
        <v>154</v>
      </c>
    </row>
    <row r="16" customFormat="false" ht="15" hidden="false" customHeight="false" outlineLevel="0" collapsed="false">
      <c r="A16" s="26" t="n">
        <v>46204</v>
      </c>
      <c r="B16" s="27" t="str">
        <f aca="false">TEXT(A16,"YYYY-MM")</f>
        <v>2026-07</v>
      </c>
      <c r="C16" s="27" t="n">
        <v>2</v>
      </c>
      <c r="D16" s="27" t="s">
        <v>155</v>
      </c>
      <c r="E16" s="27" t="s">
        <v>156</v>
      </c>
      <c r="F16" s="28" t="n">
        <v>1</v>
      </c>
      <c r="G16" s="27" t="s">
        <v>126</v>
      </c>
      <c r="H16" s="29" t="s">
        <v>157</v>
      </c>
    </row>
    <row r="17" customFormat="false" ht="15" hidden="false" customHeight="false" outlineLevel="0" collapsed="false">
      <c r="A17" s="26" t="n">
        <v>46205</v>
      </c>
      <c r="B17" s="27" t="str">
        <f aca="false">TEXT(A17,"YYYY-MM")</f>
        <v>2026-07</v>
      </c>
      <c r="C17" s="27" t="n">
        <v>12</v>
      </c>
      <c r="D17" s="27" t="s">
        <v>158</v>
      </c>
      <c r="E17" s="27" t="s">
        <v>159</v>
      </c>
      <c r="F17" s="28" t="n">
        <v>8.97</v>
      </c>
      <c r="G17" s="27" t="s">
        <v>126</v>
      </c>
      <c r="H17" s="29" t="s">
        <v>160</v>
      </c>
    </row>
    <row r="18" customFormat="false" ht="15" hidden="false" customHeight="false" outlineLevel="0" collapsed="false">
      <c r="A18" s="26" t="n">
        <v>46209</v>
      </c>
      <c r="B18" s="27" t="str">
        <f aca="false">TEXT(A18,"YYYY-MM")</f>
        <v>2026-07</v>
      </c>
      <c r="C18" s="27" t="n">
        <v>3</v>
      </c>
      <c r="D18" s="27" t="s">
        <v>161</v>
      </c>
      <c r="E18" s="27" t="s">
        <v>162</v>
      </c>
      <c r="F18" s="28" t="n">
        <v>1</v>
      </c>
      <c r="G18" s="27" t="s">
        <v>126</v>
      </c>
      <c r="H18" s="29" t="s">
        <v>163</v>
      </c>
    </row>
    <row r="19" customFormat="false" ht="15" hidden="false" customHeight="false" outlineLevel="0" collapsed="false">
      <c r="A19" s="26" t="n">
        <v>46210</v>
      </c>
      <c r="B19" s="27" t="str">
        <f aca="false">TEXT(A19,"YYYY-MM")</f>
        <v>2026-07</v>
      </c>
      <c r="C19" s="27" t="n">
        <v>2</v>
      </c>
      <c r="D19" s="27" t="s">
        <v>164</v>
      </c>
      <c r="E19" s="27" t="s">
        <v>165</v>
      </c>
      <c r="F19" s="28" t="n">
        <v>1</v>
      </c>
      <c r="G19" s="27" t="s">
        <v>126</v>
      </c>
      <c r="H19" s="29" t="s">
        <v>166</v>
      </c>
    </row>
    <row r="20" customFormat="false" ht="15" hidden="false" customHeight="false" outlineLevel="0" collapsed="false">
      <c r="A20" s="26" t="n">
        <v>46211</v>
      </c>
      <c r="B20" s="27" t="str">
        <f aca="false">TEXT(A20,"YYYY-MM")</f>
        <v>2026-07</v>
      </c>
      <c r="C20" s="27" t="n">
        <v>1</v>
      </c>
      <c r="D20" s="27" t="s">
        <v>167</v>
      </c>
      <c r="E20" s="27" t="s">
        <v>167</v>
      </c>
      <c r="F20" s="28" t="n">
        <v>1</v>
      </c>
      <c r="G20" s="27" t="s">
        <v>126</v>
      </c>
      <c r="H20" s="29" t="s">
        <v>168</v>
      </c>
    </row>
    <row r="21" customFormat="false" ht="15" hidden="false" customHeight="false" outlineLevel="0" collapsed="false">
      <c r="A21" s="26" t="n">
        <v>46212</v>
      </c>
      <c r="B21" s="27" t="str">
        <f aca="false">TEXT(A21,"YYYY-MM")</f>
        <v>2026-07</v>
      </c>
      <c r="C21" s="27" t="n">
        <v>3</v>
      </c>
      <c r="D21" s="27" t="s">
        <v>169</v>
      </c>
      <c r="E21" s="27" t="s">
        <v>170</v>
      </c>
      <c r="F21" s="28" t="n">
        <v>1</v>
      </c>
      <c r="G21" s="27" t="s">
        <v>126</v>
      </c>
      <c r="H21" s="29" t="s">
        <v>171</v>
      </c>
    </row>
    <row r="22" customFormat="false" ht="15" hidden="false" customHeight="false" outlineLevel="0" collapsed="false">
      <c r="A22" s="26" t="n">
        <v>46214</v>
      </c>
      <c r="B22" s="27" t="str">
        <f aca="false">TEXT(A22,"YYYY-MM")</f>
        <v>2026-07</v>
      </c>
      <c r="C22" s="27" t="n">
        <v>1</v>
      </c>
      <c r="D22" s="27" t="s">
        <v>172</v>
      </c>
      <c r="E22" s="27" t="s">
        <v>172</v>
      </c>
      <c r="F22" s="28" t="n">
        <v>1</v>
      </c>
      <c r="G22" s="27" t="s">
        <v>126</v>
      </c>
      <c r="H22" s="29" t="s">
        <v>173</v>
      </c>
    </row>
    <row r="23" customFormat="false" ht="15" hidden="false" customHeight="false" outlineLevel="0" collapsed="false">
      <c r="A23" s="26" t="n">
        <v>46216</v>
      </c>
      <c r="B23" s="27" t="str">
        <f aca="false">TEXT(A23,"YYYY-MM")</f>
        <v>2026-07</v>
      </c>
      <c r="C23" s="27" t="n">
        <v>6</v>
      </c>
      <c r="D23" s="27" t="s">
        <v>174</v>
      </c>
      <c r="E23" s="27" t="s">
        <v>175</v>
      </c>
      <c r="F23" s="28" t="n">
        <v>1.32</v>
      </c>
      <c r="G23" s="27" t="s">
        <v>126</v>
      </c>
      <c r="H23" s="29" t="s">
        <v>176</v>
      </c>
    </row>
    <row r="24" customFormat="false" ht="15" hidden="false" customHeight="false" outlineLevel="0" collapsed="false">
      <c r="A24" s="26" t="n">
        <v>46217</v>
      </c>
      <c r="B24" s="27" t="str">
        <f aca="false">TEXT(A24,"YYYY-MM")</f>
        <v>2026-07</v>
      </c>
      <c r="C24" s="27" t="n">
        <v>13</v>
      </c>
      <c r="D24" s="27" t="s">
        <v>177</v>
      </c>
      <c r="E24" s="27" t="s">
        <v>178</v>
      </c>
      <c r="F24" s="28" t="n">
        <v>6.52</v>
      </c>
      <c r="G24" s="27" t="s">
        <v>126</v>
      </c>
      <c r="H24" s="29" t="s">
        <v>179</v>
      </c>
    </row>
    <row r="25" customFormat="false" ht="15" hidden="false" customHeight="false" outlineLevel="0" collapsed="false">
      <c r="A25" s="26" t="n">
        <v>46218</v>
      </c>
      <c r="B25" s="27" t="str">
        <f aca="false">TEXT(A25,"YYYY-MM")</f>
        <v>2026-07</v>
      </c>
      <c r="C25" s="27" t="n">
        <v>10</v>
      </c>
      <c r="D25" s="27" t="s">
        <v>180</v>
      </c>
      <c r="E25" s="27" t="s">
        <v>181</v>
      </c>
      <c r="F25" s="28" t="n">
        <v>11.8</v>
      </c>
      <c r="G25" s="27" t="s">
        <v>126</v>
      </c>
      <c r="H25" s="29" t="s">
        <v>182</v>
      </c>
    </row>
    <row r="26" customFormat="false" ht="15" hidden="false" customHeight="false" outlineLevel="0" collapsed="false">
      <c r="A26" s="26" t="n">
        <v>46219</v>
      </c>
      <c r="B26" s="27" t="str">
        <f aca="false">TEXT(A26,"YYYY-MM")</f>
        <v>2026-07</v>
      </c>
      <c r="C26" s="27" t="n">
        <v>5</v>
      </c>
      <c r="D26" s="27" t="s">
        <v>183</v>
      </c>
      <c r="E26" s="27" t="s">
        <v>184</v>
      </c>
      <c r="F26" s="28" t="n">
        <v>11.4</v>
      </c>
      <c r="G26" s="27" t="s">
        <v>126</v>
      </c>
      <c r="H26" s="29" t="s">
        <v>185</v>
      </c>
    </row>
    <row r="27" customFormat="false" ht="15" hidden="false" customHeight="false" outlineLevel="0" collapsed="false">
      <c r="A27" s="26" t="n">
        <v>46223</v>
      </c>
      <c r="B27" s="27" t="str">
        <f aca="false">TEXT(A27,"YYYY-MM")</f>
        <v>2026-07</v>
      </c>
      <c r="C27" s="27" t="n">
        <v>3</v>
      </c>
      <c r="D27" s="27" t="s">
        <v>186</v>
      </c>
      <c r="E27" s="27" t="s">
        <v>187</v>
      </c>
      <c r="F27" s="28" t="n">
        <v>1</v>
      </c>
      <c r="G27" s="27" t="s">
        <v>126</v>
      </c>
      <c r="H27" s="29" t="s">
        <v>188</v>
      </c>
    </row>
    <row r="28" customFormat="false" ht="15" hidden="false" customHeight="false" outlineLevel="0" collapsed="false">
      <c r="A28" s="26" t="n">
        <v>46225</v>
      </c>
      <c r="B28" s="27" t="str">
        <f aca="false">TEXT(A28,"YYYY-MM")</f>
        <v>2026-07</v>
      </c>
      <c r="C28" s="27" t="n">
        <v>2</v>
      </c>
      <c r="D28" s="27" t="s">
        <v>189</v>
      </c>
      <c r="E28" s="27" t="s">
        <v>190</v>
      </c>
      <c r="F28" s="28" t="n">
        <v>1</v>
      </c>
      <c r="G28" s="27" t="s">
        <v>126</v>
      </c>
      <c r="H28" s="29" t="s">
        <v>191</v>
      </c>
    </row>
    <row r="29" customFormat="false" ht="15" hidden="false" customHeight="false" outlineLevel="0" collapsed="false">
      <c r="A29" s="26" t="n">
        <v>46226</v>
      </c>
      <c r="B29" s="27" t="str">
        <f aca="false">TEXT(A29,"YYYY-MM")</f>
        <v>2026-07</v>
      </c>
      <c r="C29" s="27" t="n">
        <v>4</v>
      </c>
      <c r="D29" s="27" t="s">
        <v>192</v>
      </c>
      <c r="E29" s="27" t="s">
        <v>193</v>
      </c>
      <c r="F29" s="28" t="n">
        <v>10.77</v>
      </c>
      <c r="G29" s="27" t="s">
        <v>126</v>
      </c>
      <c r="H29" s="29" t="s">
        <v>194</v>
      </c>
    </row>
    <row r="30" customFormat="false" ht="15" hidden="false" customHeight="false" outlineLevel="0" collapsed="false">
      <c r="A30" s="26" t="n">
        <v>46227</v>
      </c>
      <c r="B30" s="27" t="str">
        <f aca="false">TEXT(A30,"YYYY-MM")</f>
        <v>2026-07</v>
      </c>
      <c r="C30" s="27" t="n">
        <v>2</v>
      </c>
      <c r="D30" s="27" t="s">
        <v>195</v>
      </c>
      <c r="E30" s="27" t="s">
        <v>196</v>
      </c>
      <c r="F30" s="28" t="n">
        <v>1</v>
      </c>
      <c r="G30" s="27" t="s">
        <v>126</v>
      </c>
      <c r="H30" s="29" t="s">
        <v>197</v>
      </c>
    </row>
    <row r="31" customFormat="false" ht="15" hidden="false" customHeight="false" outlineLevel="0" collapsed="false">
      <c r="A31" s="26" t="n">
        <v>46230</v>
      </c>
      <c r="B31" s="27" t="str">
        <f aca="false">TEXT(A31,"YYYY-MM")</f>
        <v>2026-07</v>
      </c>
      <c r="C31" s="27" t="n">
        <v>6</v>
      </c>
      <c r="D31" s="27" t="s">
        <v>195</v>
      </c>
      <c r="E31" s="27" t="s">
        <v>198</v>
      </c>
      <c r="F31" s="28" t="n">
        <v>6.95</v>
      </c>
      <c r="G31" s="27" t="s">
        <v>126</v>
      </c>
      <c r="H31" s="29" t="s">
        <v>199</v>
      </c>
    </row>
    <row r="32" customFormat="false" ht="15" hidden="false" customHeight="false" outlineLevel="0" collapsed="false">
      <c r="A32" s="26" t="n">
        <v>46231</v>
      </c>
      <c r="B32" s="27" t="str">
        <f aca="false">TEXT(A32,"YYYY-MM")</f>
        <v>2026-07</v>
      </c>
      <c r="C32" s="27" t="n">
        <v>5</v>
      </c>
      <c r="D32" s="27" t="s">
        <v>200</v>
      </c>
      <c r="E32" s="27" t="s">
        <v>201</v>
      </c>
      <c r="F32" s="28" t="n">
        <v>5.27</v>
      </c>
      <c r="G32" s="27" t="s">
        <v>126</v>
      </c>
      <c r="H32" s="29" t="s">
        <v>202</v>
      </c>
    </row>
    <row r="33" customFormat="false" ht="15" hidden="false" customHeight="false" outlineLevel="0" collapsed="false">
      <c r="A33" s="26" t="n">
        <v>46237</v>
      </c>
      <c r="B33" s="27" t="str">
        <f aca="false">TEXT(A33,"YYYY-MM")</f>
        <v>2026-08</v>
      </c>
      <c r="C33" s="27" t="n">
        <v>5</v>
      </c>
      <c r="D33" s="27" t="s">
        <v>203</v>
      </c>
      <c r="E33" s="27" t="s">
        <v>204</v>
      </c>
      <c r="F33" s="28" t="n">
        <v>1.7</v>
      </c>
      <c r="G33" s="27" t="s">
        <v>126</v>
      </c>
      <c r="H33" s="29" t="s">
        <v>205</v>
      </c>
    </row>
    <row r="34" customFormat="false" ht="15" hidden="false" customHeight="false" outlineLevel="0" collapsed="false">
      <c r="A34" s="26" t="n">
        <v>46239</v>
      </c>
      <c r="B34" s="27" t="str">
        <f aca="false">TEXT(A34,"YYYY-MM")</f>
        <v>2026-08</v>
      </c>
      <c r="C34" s="27" t="n">
        <v>22</v>
      </c>
      <c r="D34" s="27" t="s">
        <v>206</v>
      </c>
      <c r="E34" s="27" t="s">
        <v>207</v>
      </c>
      <c r="F34" s="28" t="n">
        <v>20.1</v>
      </c>
      <c r="G34" s="27" t="s">
        <v>126</v>
      </c>
      <c r="H34" s="29" t="s">
        <v>208</v>
      </c>
    </row>
    <row r="35" customFormat="false" ht="15" hidden="false" customHeight="false" outlineLevel="0" collapsed="false">
      <c r="A35" s="26" t="n">
        <v>46240</v>
      </c>
      <c r="B35" s="27" t="str">
        <f aca="false">TEXT(A35,"YYYY-MM")</f>
        <v>2026-08</v>
      </c>
      <c r="C35" s="27" t="n">
        <v>2</v>
      </c>
      <c r="D35" s="27" t="s">
        <v>209</v>
      </c>
      <c r="E35" s="27" t="s">
        <v>210</v>
      </c>
      <c r="F35" s="28" t="n">
        <v>1</v>
      </c>
      <c r="G35" s="27" t="s">
        <v>126</v>
      </c>
      <c r="H35" s="29" t="s">
        <v>211</v>
      </c>
    </row>
    <row r="36" customFormat="false" ht="15" hidden="false" customHeight="false" outlineLevel="0" collapsed="false">
      <c r="A36" s="26" t="n">
        <v>46241</v>
      </c>
      <c r="B36" s="27" t="str">
        <f aca="false">TEXT(A36,"YYYY-MM")</f>
        <v>2026-08</v>
      </c>
      <c r="C36" s="27" t="n">
        <v>1</v>
      </c>
      <c r="D36" s="27" t="s">
        <v>212</v>
      </c>
      <c r="E36" s="27" t="s">
        <v>212</v>
      </c>
      <c r="F36" s="28" t="n">
        <v>1</v>
      </c>
      <c r="G36" s="27" t="s">
        <v>126</v>
      </c>
      <c r="H36" s="29" t="s">
        <v>213</v>
      </c>
    </row>
    <row r="37" customFormat="false" ht="15" hidden="false" customHeight="false" outlineLevel="0" collapsed="false">
      <c r="A37" s="26" t="n">
        <v>46243</v>
      </c>
      <c r="B37" s="27" t="str">
        <f aca="false">TEXT(A37,"YYYY-MM")</f>
        <v>2026-08</v>
      </c>
      <c r="C37" s="27" t="n">
        <v>5</v>
      </c>
      <c r="D37" s="27" t="s">
        <v>214</v>
      </c>
      <c r="E37" s="27" t="s">
        <v>215</v>
      </c>
      <c r="F37" s="28" t="n">
        <v>3.12</v>
      </c>
      <c r="G37" s="27" t="s">
        <v>126</v>
      </c>
      <c r="H37" s="29" t="s">
        <v>216</v>
      </c>
    </row>
    <row r="38" customFormat="false" ht="15" hidden="false" customHeight="false" outlineLevel="0" collapsed="false">
      <c r="A38" s="26" t="n">
        <v>46244</v>
      </c>
      <c r="B38" s="27" t="str">
        <f aca="false">TEXT(A38,"YYYY-MM")</f>
        <v>2026-08</v>
      </c>
      <c r="C38" s="27" t="n">
        <v>1</v>
      </c>
      <c r="D38" s="27" t="s">
        <v>217</v>
      </c>
      <c r="E38" s="27" t="s">
        <v>217</v>
      </c>
      <c r="F38" s="28" t="n">
        <v>1</v>
      </c>
      <c r="G38" s="27" t="s">
        <v>126</v>
      </c>
      <c r="H38" s="29" t="s">
        <v>218</v>
      </c>
    </row>
    <row r="39" customFormat="false" ht="15" hidden="false" customHeight="false" outlineLevel="0" collapsed="false">
      <c r="A39" s="26" t="n">
        <v>46245</v>
      </c>
      <c r="B39" s="27" t="str">
        <f aca="false">TEXT(A39,"YYYY-MM")</f>
        <v>2026-08</v>
      </c>
      <c r="C39" s="27" t="n">
        <v>5</v>
      </c>
      <c r="D39" s="27" t="s">
        <v>219</v>
      </c>
      <c r="E39" s="27" t="s">
        <v>220</v>
      </c>
      <c r="F39" s="28" t="n">
        <v>5.05</v>
      </c>
      <c r="G39" s="27" t="s">
        <v>126</v>
      </c>
      <c r="H39" s="29" t="s">
        <v>221</v>
      </c>
    </row>
    <row r="40" customFormat="false" ht="15" hidden="false" customHeight="false" outlineLevel="0" collapsed="false">
      <c r="A40" s="26" t="n">
        <v>46246</v>
      </c>
      <c r="B40" s="27" t="str">
        <f aca="false">TEXT(A40,"YYYY-MM")</f>
        <v>2026-08</v>
      </c>
      <c r="C40" s="27" t="n">
        <v>3</v>
      </c>
      <c r="D40" s="27" t="s">
        <v>222</v>
      </c>
      <c r="E40" s="27" t="s">
        <v>223</v>
      </c>
      <c r="F40" s="28" t="n">
        <v>7</v>
      </c>
      <c r="G40" s="27" t="s">
        <v>126</v>
      </c>
      <c r="H40" s="29" t="s">
        <v>224</v>
      </c>
    </row>
    <row r="41" customFormat="false" ht="15" hidden="false" customHeight="false" outlineLevel="0" collapsed="false">
      <c r="A41" s="26" t="n">
        <v>46251</v>
      </c>
      <c r="B41" s="27" t="str">
        <f aca="false">TEXT(A41,"YYYY-MM")</f>
        <v>2026-08</v>
      </c>
      <c r="C41" s="27" t="n">
        <v>4</v>
      </c>
      <c r="D41" s="27" t="s">
        <v>225</v>
      </c>
      <c r="E41" s="27" t="s">
        <v>226</v>
      </c>
      <c r="F41" s="28" t="n">
        <v>9.73</v>
      </c>
      <c r="G41" s="27" t="s">
        <v>126</v>
      </c>
      <c r="H41" s="29" t="s">
        <v>227</v>
      </c>
    </row>
    <row r="42" customFormat="false" ht="15" hidden="false" customHeight="false" outlineLevel="0" collapsed="false">
      <c r="A42" s="26" t="n">
        <v>46252</v>
      </c>
      <c r="B42" s="27" t="str">
        <f aca="false">TEXT(A42,"YYYY-MM")</f>
        <v>2026-08</v>
      </c>
      <c r="C42" s="27" t="n">
        <v>23</v>
      </c>
      <c r="D42" s="27" t="s">
        <v>228</v>
      </c>
      <c r="E42" s="27" t="s">
        <v>229</v>
      </c>
      <c r="F42" s="28" t="n">
        <v>13.03</v>
      </c>
      <c r="G42" s="27" t="s">
        <v>126</v>
      </c>
      <c r="H42" s="29" t="s">
        <v>230</v>
      </c>
    </row>
    <row r="43" customFormat="false" ht="15" hidden="false" customHeight="false" outlineLevel="0" collapsed="false">
      <c r="A43" s="26" t="n">
        <v>46253</v>
      </c>
      <c r="B43" s="27" t="str">
        <f aca="false">TEXT(A43,"YYYY-MM")</f>
        <v>2026-08</v>
      </c>
      <c r="C43" s="27" t="n">
        <v>11</v>
      </c>
      <c r="D43" s="27" t="s">
        <v>209</v>
      </c>
      <c r="E43" s="27" t="s">
        <v>231</v>
      </c>
      <c r="F43" s="28" t="n">
        <v>23.12</v>
      </c>
      <c r="G43" s="27" t="s">
        <v>126</v>
      </c>
      <c r="H43" s="29" t="s">
        <v>232</v>
      </c>
    </row>
    <row r="45" customFormat="false" ht="15" hidden="false" customHeight="false" outlineLevel="0" collapsed="false">
      <c r="A45" s="30" t="s">
        <v>233</v>
      </c>
      <c r="B45" s="31"/>
      <c r="C45" s="31"/>
      <c r="D45" s="31"/>
      <c r="E45" s="31"/>
      <c r="F45" s="31"/>
      <c r="G45" s="31"/>
      <c r="H45" s="31"/>
    </row>
    <row r="46" customFormat="false" ht="15" hidden="false" customHeight="false" outlineLevel="0" collapsed="false">
      <c r="A46" s="32" t="n">
        <v>46158</v>
      </c>
      <c r="B46" s="33" t="str">
        <f aca="false">TEXT(A46,"YYYY-MM")</f>
        <v>2026-05</v>
      </c>
      <c r="C46" s="33"/>
      <c r="D46" s="33" t="s">
        <v>234</v>
      </c>
      <c r="E46" s="33" t="s">
        <v>235</v>
      </c>
      <c r="F46" s="34" t="n">
        <v>4.5</v>
      </c>
      <c r="G46" s="33" t="s">
        <v>236</v>
      </c>
      <c r="H46" s="35" t="s">
        <v>237</v>
      </c>
    </row>
    <row r="47" customFormat="false" ht="15" hidden="false" customHeight="false" outlineLevel="0" collapsed="false">
      <c r="A47" s="36"/>
      <c r="B47" s="27" t="str">
        <f aca="false">IF(A47="","",TEXT(A47,"YYYY-MM"))</f>
        <v/>
      </c>
      <c r="C47" s="37"/>
      <c r="D47" s="37"/>
      <c r="E47" s="37"/>
      <c r="F47" s="38"/>
      <c r="G47" s="39" t="s">
        <v>238</v>
      </c>
      <c r="H47" s="40"/>
    </row>
    <row r="48" customFormat="false" ht="15" hidden="false" customHeight="false" outlineLevel="0" collapsed="false">
      <c r="A48" s="36"/>
      <c r="B48" s="27" t="str">
        <f aca="false">IF(A48="","",TEXT(A48,"YYYY-MM"))</f>
        <v/>
      </c>
      <c r="C48" s="37"/>
      <c r="D48" s="37"/>
      <c r="E48" s="37"/>
      <c r="F48" s="38"/>
      <c r="G48" s="39" t="s">
        <v>238</v>
      </c>
      <c r="H48" s="40"/>
    </row>
    <row r="49" customFormat="false" ht="15" hidden="false" customHeight="false" outlineLevel="0" collapsed="false">
      <c r="A49" s="36"/>
      <c r="B49" s="27" t="str">
        <f aca="false">IF(A49="","",TEXT(A49,"YYYY-MM"))</f>
        <v/>
      </c>
      <c r="C49" s="37"/>
      <c r="D49" s="37"/>
      <c r="E49" s="37"/>
      <c r="F49" s="38"/>
      <c r="G49" s="39" t="s">
        <v>238</v>
      </c>
      <c r="H49" s="40"/>
    </row>
    <row r="50" customFormat="false" ht="15" hidden="false" customHeight="false" outlineLevel="0" collapsed="false">
      <c r="A50" s="36"/>
      <c r="B50" s="27" t="str">
        <f aca="false">IF(A50="","",TEXT(A50,"YYYY-MM"))</f>
        <v/>
      </c>
      <c r="C50" s="37"/>
      <c r="D50" s="37"/>
      <c r="E50" s="37"/>
      <c r="F50" s="38"/>
      <c r="G50" s="39" t="s">
        <v>238</v>
      </c>
      <c r="H50" s="40"/>
    </row>
    <row r="51" customFormat="false" ht="15" hidden="false" customHeight="false" outlineLevel="0" collapsed="false">
      <c r="A51" s="36"/>
      <c r="B51" s="27" t="str">
        <f aca="false">IF(A51="","",TEXT(A51,"YYYY-MM"))</f>
        <v/>
      </c>
      <c r="C51" s="37"/>
      <c r="D51" s="37"/>
      <c r="E51" s="37"/>
      <c r="F51" s="38"/>
      <c r="G51" s="39" t="s">
        <v>238</v>
      </c>
      <c r="H51" s="40"/>
    </row>
    <row r="52" customFormat="false" ht="15" hidden="false" customHeight="false" outlineLevel="0" collapsed="false">
      <c r="A52" s="36"/>
      <c r="B52" s="27" t="str">
        <f aca="false">IF(A52="","",TEXT(A52,"YYYY-MM"))</f>
        <v/>
      </c>
      <c r="C52" s="37"/>
      <c r="D52" s="37"/>
      <c r="E52" s="37"/>
      <c r="F52" s="38"/>
      <c r="G52" s="39" t="s">
        <v>238</v>
      </c>
      <c r="H52" s="40"/>
    </row>
    <row r="53" customFormat="false" ht="15" hidden="false" customHeight="false" outlineLevel="0" collapsed="false">
      <c r="A53" s="36"/>
      <c r="B53" s="27" t="str">
        <f aca="false">IF(A53="","",TEXT(A53,"YYYY-MM"))</f>
        <v/>
      </c>
      <c r="C53" s="37"/>
      <c r="D53" s="37"/>
      <c r="E53" s="37"/>
      <c r="F53" s="38"/>
      <c r="G53" s="39" t="s">
        <v>238</v>
      </c>
      <c r="H53" s="40"/>
    </row>
    <row r="54" customFormat="false" ht="15" hidden="false" customHeight="false" outlineLevel="0" collapsed="false">
      <c r="A54" s="36"/>
      <c r="B54" s="27" t="str">
        <f aca="false">IF(A54="","",TEXT(A54,"YYYY-MM"))</f>
        <v/>
      </c>
      <c r="C54" s="37"/>
      <c r="D54" s="37"/>
      <c r="E54" s="37"/>
      <c r="F54" s="38"/>
      <c r="G54" s="39" t="s">
        <v>238</v>
      </c>
      <c r="H54" s="40"/>
    </row>
    <row r="55" customFormat="false" ht="15" hidden="false" customHeight="false" outlineLevel="0" collapsed="false">
      <c r="A55" s="36"/>
      <c r="B55" s="27" t="str">
        <f aca="false">IF(A55="","",TEXT(A55,"YYYY-MM"))</f>
        <v/>
      </c>
      <c r="C55" s="37"/>
      <c r="D55" s="37"/>
      <c r="E55" s="37"/>
      <c r="F55" s="38"/>
      <c r="G55" s="39" t="s">
        <v>238</v>
      </c>
      <c r="H55" s="40"/>
    </row>
    <row r="56" customFormat="false" ht="15" hidden="false" customHeight="false" outlineLevel="0" collapsed="false">
      <c r="A56" s="36"/>
      <c r="B56" s="27" t="str">
        <f aca="false">IF(A56="","",TEXT(A56,"YYYY-MM"))</f>
        <v/>
      </c>
      <c r="C56" s="37"/>
      <c r="D56" s="37"/>
      <c r="E56" s="37"/>
      <c r="F56" s="38"/>
      <c r="G56" s="39" t="s">
        <v>238</v>
      </c>
      <c r="H56" s="40"/>
    </row>
    <row r="57" customFormat="false" ht="15" hidden="false" customHeight="false" outlineLevel="0" collapsed="false">
      <c r="A57" s="36"/>
      <c r="B57" s="27" t="str">
        <f aca="false">IF(A57="","",TEXT(A57,"YYYY-MM"))</f>
        <v/>
      </c>
      <c r="C57" s="37"/>
      <c r="D57" s="37"/>
      <c r="E57" s="37"/>
      <c r="F57" s="38"/>
      <c r="G57" s="39" t="s">
        <v>238</v>
      </c>
      <c r="H57" s="40"/>
    </row>
    <row r="58" customFormat="false" ht="15" hidden="false" customHeight="false" outlineLevel="0" collapsed="false">
      <c r="A58" s="36"/>
      <c r="B58" s="27" t="str">
        <f aca="false">IF(A58="","",TEXT(A58,"YYYY-MM"))</f>
        <v/>
      </c>
      <c r="C58" s="37"/>
      <c r="D58" s="37"/>
      <c r="E58" s="37"/>
      <c r="F58" s="38"/>
      <c r="G58" s="39" t="s">
        <v>238</v>
      </c>
      <c r="H58" s="40"/>
    </row>
    <row r="59" customFormat="false" ht="15" hidden="false" customHeight="false" outlineLevel="0" collapsed="false">
      <c r="A59" s="36"/>
      <c r="B59" s="27" t="str">
        <f aca="false">IF(A59="","",TEXT(A59,"YYYY-MM"))</f>
        <v/>
      </c>
      <c r="C59" s="37"/>
      <c r="D59" s="37"/>
      <c r="E59" s="37"/>
      <c r="F59" s="38"/>
      <c r="G59" s="39" t="s">
        <v>238</v>
      </c>
      <c r="H59" s="40"/>
    </row>
    <row r="60" customFormat="false" ht="15" hidden="false" customHeight="false" outlineLevel="0" collapsed="false">
      <c r="A60" s="36"/>
      <c r="B60" s="27" t="str">
        <f aca="false">IF(A60="","",TEXT(A60,"YYYY-MM"))</f>
        <v/>
      </c>
      <c r="C60" s="37"/>
      <c r="D60" s="37"/>
      <c r="E60" s="37"/>
      <c r="F60" s="38"/>
      <c r="G60" s="39" t="s">
        <v>238</v>
      </c>
      <c r="H60" s="40"/>
    </row>
    <row r="61" customFormat="false" ht="15" hidden="false" customHeight="false" outlineLevel="0" collapsed="false">
      <c r="A61" s="36"/>
      <c r="B61" s="27" t="str">
        <f aca="false">IF(A61="","",TEXT(A61,"YYYY-MM"))</f>
        <v/>
      </c>
      <c r="C61" s="37"/>
      <c r="D61" s="37"/>
      <c r="E61" s="37"/>
      <c r="F61" s="38"/>
      <c r="G61" s="39" t="s">
        <v>238</v>
      </c>
      <c r="H61" s="40"/>
    </row>
    <row r="62" customFormat="false" ht="15" hidden="false" customHeight="false" outlineLevel="0" collapsed="false">
      <c r="A62" s="36"/>
      <c r="B62" s="27" t="str">
        <f aca="false">IF(A62="","",TEXT(A62,"YYYY-MM"))</f>
        <v/>
      </c>
      <c r="C62" s="37"/>
      <c r="D62" s="37"/>
      <c r="E62" s="37"/>
      <c r="F62" s="38"/>
      <c r="G62" s="39" t="s">
        <v>238</v>
      </c>
      <c r="H62" s="40"/>
    </row>
    <row r="63" customFormat="false" ht="15" hidden="false" customHeight="false" outlineLevel="0" collapsed="false">
      <c r="A63" s="36"/>
      <c r="B63" s="27" t="str">
        <f aca="false">IF(A63="","",TEXT(A63,"YYYY-MM"))</f>
        <v/>
      </c>
      <c r="C63" s="37"/>
      <c r="D63" s="37"/>
      <c r="E63" s="37"/>
      <c r="F63" s="38"/>
      <c r="G63" s="39" t="s">
        <v>238</v>
      </c>
      <c r="H63" s="40"/>
    </row>
    <row r="64" customFormat="false" ht="15" hidden="false" customHeight="false" outlineLevel="0" collapsed="false">
      <c r="A64" s="36"/>
      <c r="B64" s="27" t="str">
        <f aca="false">IF(A64="","",TEXT(A64,"YYYY-MM"))</f>
        <v/>
      </c>
      <c r="C64" s="37"/>
      <c r="D64" s="37"/>
      <c r="E64" s="37"/>
      <c r="F64" s="38"/>
      <c r="G64" s="39" t="s">
        <v>238</v>
      </c>
      <c r="H64" s="40"/>
    </row>
    <row r="65" customFormat="false" ht="15" hidden="false" customHeight="false" outlineLevel="0" collapsed="false">
      <c r="A65" s="36"/>
      <c r="B65" s="27" t="str">
        <f aca="false">IF(A65="","",TEXT(A65,"YYYY-MM"))</f>
        <v/>
      </c>
      <c r="C65" s="37"/>
      <c r="D65" s="37"/>
      <c r="E65" s="37"/>
      <c r="F65" s="38"/>
      <c r="G65" s="39" t="s">
        <v>238</v>
      </c>
      <c r="H65" s="40"/>
    </row>
    <row r="66" customFormat="false" ht="15" hidden="false" customHeight="false" outlineLevel="0" collapsed="false">
      <c r="A66" s="36"/>
      <c r="B66" s="27" t="str">
        <f aca="false">IF(A66="","",TEXT(A66,"YYYY-MM"))</f>
        <v/>
      </c>
      <c r="C66" s="37"/>
      <c r="D66" s="37"/>
      <c r="E66" s="37"/>
      <c r="F66" s="38"/>
      <c r="G66" s="39" t="s">
        <v>238</v>
      </c>
      <c r="H66" s="40"/>
    </row>
    <row r="67" customFormat="false" ht="15" hidden="false" customHeight="false" outlineLevel="0" collapsed="false">
      <c r="A67" s="36"/>
      <c r="B67" s="27" t="str">
        <f aca="false">IF(A67="","",TEXT(A67,"YYYY-MM"))</f>
        <v/>
      </c>
      <c r="C67" s="37"/>
      <c r="D67" s="37"/>
      <c r="E67" s="37"/>
      <c r="F67" s="38"/>
      <c r="G67" s="39" t="s">
        <v>238</v>
      </c>
      <c r="H67" s="40"/>
    </row>
    <row r="68" customFormat="false" ht="15" hidden="false" customHeight="false" outlineLevel="0" collapsed="false">
      <c r="A68" s="36"/>
      <c r="B68" s="27" t="str">
        <f aca="false">IF(A68="","",TEXT(A68,"YYYY-MM"))</f>
        <v/>
      </c>
      <c r="C68" s="37"/>
      <c r="D68" s="37"/>
      <c r="E68" s="37"/>
      <c r="F68" s="38"/>
      <c r="G68" s="39" t="s">
        <v>238</v>
      </c>
      <c r="H68" s="40"/>
    </row>
    <row r="69" customFormat="false" ht="15" hidden="false" customHeight="false" outlineLevel="0" collapsed="false">
      <c r="A69" s="36"/>
      <c r="B69" s="27" t="str">
        <f aca="false">IF(A69="","",TEXT(A69,"YYYY-MM"))</f>
        <v/>
      </c>
      <c r="C69" s="37"/>
      <c r="D69" s="37"/>
      <c r="E69" s="37"/>
      <c r="F69" s="38"/>
      <c r="G69" s="39" t="s">
        <v>238</v>
      </c>
      <c r="H69" s="40"/>
    </row>
    <row r="70" customFormat="false" ht="15" hidden="false" customHeight="false" outlineLevel="0" collapsed="false">
      <c r="A70" s="36"/>
      <c r="B70" s="27" t="str">
        <f aca="false">IF(A70="","",TEXT(A70,"YYYY-MM"))</f>
        <v/>
      </c>
      <c r="C70" s="37"/>
      <c r="D70" s="37"/>
      <c r="E70" s="37"/>
      <c r="F70" s="38"/>
      <c r="G70" s="39" t="s">
        <v>238</v>
      </c>
      <c r="H70" s="40"/>
    </row>
    <row r="71" customFormat="false" ht="15" hidden="false" customHeight="false" outlineLevel="0" collapsed="false">
      <c r="A71" s="36"/>
      <c r="B71" s="27" t="str">
        <f aca="false">IF(A71="","",TEXT(A71,"YYYY-MM"))</f>
        <v/>
      </c>
      <c r="C71" s="37"/>
      <c r="D71" s="37"/>
      <c r="E71" s="37"/>
      <c r="F71" s="38"/>
      <c r="G71" s="39" t="s">
        <v>238</v>
      </c>
      <c r="H71" s="40"/>
    </row>
    <row r="72" customFormat="false" ht="15" hidden="false" customHeight="false" outlineLevel="0" collapsed="false">
      <c r="A72" s="36"/>
      <c r="B72" s="27" t="str">
        <f aca="false">IF(A72="","",TEXT(A72,"YYYY-MM"))</f>
        <v/>
      </c>
      <c r="C72" s="37"/>
      <c r="D72" s="37"/>
      <c r="E72" s="37"/>
      <c r="F72" s="38"/>
      <c r="G72" s="39" t="s">
        <v>238</v>
      </c>
      <c r="H72" s="40"/>
    </row>
    <row r="73" customFormat="false" ht="15" hidden="false" customHeight="false" outlineLevel="0" collapsed="false">
      <c r="A73" s="36"/>
      <c r="B73" s="27" t="str">
        <f aca="false">IF(A73="","",TEXT(A73,"YYYY-MM"))</f>
        <v/>
      </c>
      <c r="C73" s="37"/>
      <c r="D73" s="37"/>
      <c r="E73" s="37"/>
      <c r="F73" s="38"/>
      <c r="G73" s="39" t="s">
        <v>238</v>
      </c>
      <c r="H73" s="40"/>
    </row>
    <row r="74" customFormat="false" ht="15" hidden="false" customHeight="false" outlineLevel="0" collapsed="false">
      <c r="A74" s="36"/>
      <c r="B74" s="27" t="str">
        <f aca="false">IF(A74="","",TEXT(A74,"YYYY-MM"))</f>
        <v/>
      </c>
      <c r="C74" s="37"/>
      <c r="D74" s="37"/>
      <c r="E74" s="37"/>
      <c r="F74" s="38"/>
      <c r="G74" s="39" t="s">
        <v>238</v>
      </c>
      <c r="H74" s="40"/>
    </row>
    <row r="75" customFormat="false" ht="15" hidden="false" customHeight="false" outlineLevel="0" collapsed="false">
      <c r="A75" s="36"/>
      <c r="B75" s="27" t="str">
        <f aca="false">IF(A75="","",TEXT(A75,"YYYY-MM"))</f>
        <v/>
      </c>
      <c r="C75" s="37"/>
      <c r="D75" s="37"/>
      <c r="E75" s="37"/>
      <c r="F75" s="38"/>
      <c r="G75" s="39" t="s">
        <v>238</v>
      </c>
      <c r="H75" s="40"/>
    </row>
    <row r="76" customFormat="false" ht="15" hidden="false" customHeight="false" outlineLevel="0" collapsed="false">
      <c r="A76" s="36"/>
      <c r="B76" s="27" t="str">
        <f aca="false">IF(A76="","",TEXT(A76,"YYYY-MM"))</f>
        <v/>
      </c>
      <c r="C76" s="37"/>
      <c r="D76" s="37"/>
      <c r="E76" s="37"/>
      <c r="F76" s="38"/>
      <c r="G76" s="39" t="s">
        <v>238</v>
      </c>
      <c r="H76" s="40"/>
    </row>
    <row r="77" customFormat="false" ht="15" hidden="false" customHeight="false" outlineLevel="0" collapsed="false">
      <c r="A77" s="36"/>
      <c r="B77" s="27" t="str">
        <f aca="false">IF(A77="","",TEXT(A77,"YYYY-MM"))</f>
        <v/>
      </c>
      <c r="C77" s="37"/>
      <c r="D77" s="37"/>
      <c r="E77" s="37"/>
      <c r="F77" s="38"/>
      <c r="G77" s="39" t="s">
        <v>238</v>
      </c>
      <c r="H77" s="40"/>
    </row>
    <row r="78" customFormat="false" ht="15" hidden="false" customHeight="false" outlineLevel="0" collapsed="false">
      <c r="A78" s="36"/>
      <c r="B78" s="27" t="str">
        <f aca="false">IF(A78="","",TEXT(A78,"YYYY-MM"))</f>
        <v/>
      </c>
      <c r="C78" s="37"/>
      <c r="D78" s="37"/>
      <c r="E78" s="37"/>
      <c r="F78" s="38"/>
      <c r="G78" s="39" t="s">
        <v>238</v>
      </c>
      <c r="H78" s="40"/>
    </row>
    <row r="79" customFormat="false" ht="15" hidden="false" customHeight="false" outlineLevel="0" collapsed="false">
      <c r="A79" s="36"/>
      <c r="B79" s="27" t="str">
        <f aca="false">IF(A79="","",TEXT(A79,"YYYY-MM"))</f>
        <v/>
      </c>
      <c r="C79" s="37"/>
      <c r="D79" s="37"/>
      <c r="E79" s="37"/>
      <c r="F79" s="38"/>
      <c r="G79" s="39" t="s">
        <v>238</v>
      </c>
      <c r="H79" s="40"/>
    </row>
    <row r="80" customFormat="false" ht="15" hidden="false" customHeight="false" outlineLevel="0" collapsed="false">
      <c r="A80" s="36"/>
      <c r="B80" s="27" t="str">
        <f aca="false">IF(A80="","",TEXT(A80,"YYYY-MM"))</f>
        <v/>
      </c>
      <c r="C80" s="37"/>
      <c r="D80" s="37"/>
      <c r="E80" s="37"/>
      <c r="F80" s="38"/>
      <c r="G80" s="39" t="s">
        <v>238</v>
      </c>
      <c r="H80" s="40"/>
    </row>
    <row r="81" customFormat="false" ht="15" hidden="false" customHeight="false" outlineLevel="0" collapsed="false">
      <c r="A81" s="36"/>
      <c r="B81" s="27" t="str">
        <f aca="false">IF(A81="","",TEXT(A81,"YYYY-MM"))</f>
        <v/>
      </c>
      <c r="C81" s="37"/>
      <c r="D81" s="37"/>
      <c r="E81" s="37"/>
      <c r="F81" s="38"/>
      <c r="G81" s="39" t="s">
        <v>238</v>
      </c>
      <c r="H81" s="40"/>
    </row>
    <row r="82" customFormat="false" ht="15" hidden="false" customHeight="false" outlineLevel="0" collapsed="false">
      <c r="A82" s="36"/>
      <c r="B82" s="27" t="str">
        <f aca="false">IF(A82="","",TEXT(A82,"YYYY-MM"))</f>
        <v/>
      </c>
      <c r="C82" s="37"/>
      <c r="D82" s="37"/>
      <c r="E82" s="37"/>
      <c r="F82" s="38"/>
      <c r="G82" s="39" t="s">
        <v>238</v>
      </c>
      <c r="H82" s="40"/>
    </row>
    <row r="83" customFormat="false" ht="15" hidden="false" customHeight="false" outlineLevel="0" collapsed="false">
      <c r="A83" s="36"/>
      <c r="B83" s="27" t="str">
        <f aca="false">IF(A83="","",TEXT(A83,"YYYY-MM"))</f>
        <v/>
      </c>
      <c r="C83" s="37"/>
      <c r="D83" s="37"/>
      <c r="E83" s="37"/>
      <c r="F83" s="38"/>
      <c r="G83" s="39" t="s">
        <v>238</v>
      </c>
      <c r="H83" s="40"/>
    </row>
    <row r="84" customFormat="false" ht="15" hidden="false" customHeight="false" outlineLevel="0" collapsed="false">
      <c r="A84" s="36"/>
      <c r="B84" s="27" t="str">
        <f aca="false">IF(A84="","",TEXT(A84,"YYYY-MM"))</f>
        <v/>
      </c>
      <c r="C84" s="37"/>
      <c r="D84" s="37"/>
      <c r="E84" s="37"/>
      <c r="F84" s="38"/>
      <c r="G84" s="39" t="s">
        <v>238</v>
      </c>
      <c r="H84" s="40"/>
    </row>
    <row r="85" customFormat="false" ht="15" hidden="false" customHeight="false" outlineLevel="0" collapsed="false">
      <c r="A85" s="36"/>
      <c r="B85" s="27" t="str">
        <f aca="false">IF(A85="","",TEXT(A85,"YYYY-MM"))</f>
        <v/>
      </c>
      <c r="C85" s="37"/>
      <c r="D85" s="37"/>
      <c r="E85" s="37"/>
      <c r="F85" s="38"/>
      <c r="G85" s="39" t="s">
        <v>238</v>
      </c>
      <c r="H85" s="40"/>
    </row>
    <row r="86" customFormat="false" ht="15" hidden="false" customHeight="false" outlineLevel="0" collapsed="false">
      <c r="A86" s="36"/>
      <c r="B86" s="27" t="str">
        <f aca="false">IF(A86="","",TEXT(A86,"YYYY-MM"))</f>
        <v/>
      </c>
      <c r="C86" s="37"/>
      <c r="D86" s="37"/>
      <c r="E86" s="37"/>
      <c r="F86" s="38"/>
      <c r="G86" s="39" t="s">
        <v>238</v>
      </c>
      <c r="H86" s="40"/>
    </row>
    <row r="88" customFormat="false" ht="15" hidden="false" customHeight="false" outlineLevel="0" collapsed="false">
      <c r="A88" s="41" t="s">
        <v>239</v>
      </c>
      <c r="F88" s="42" t="n">
        <f aca="false">SUMIF($G$5:$G$86,"git",$F$5:$F$86)+SUMIF($G$5:$G$86,"manual",$F$5:$F$86)</f>
        <v>218.3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2"/>
    <col collapsed="false" customWidth="true" hidden="false" outlineLevel="0" max="5" min="5" style="0" width="14"/>
  </cols>
  <sheetData>
    <row r="1" customFormat="false" ht="17.35" hidden="false" customHeight="false" outlineLevel="0" collapsed="false">
      <c r="A1" s="20" t="s">
        <v>240</v>
      </c>
    </row>
    <row r="3" customFormat="false" ht="15" hidden="false" customHeight="false" outlineLevel="0" collapsed="false">
      <c r="A3" s="11" t="s">
        <v>119</v>
      </c>
      <c r="B3" s="11" t="s">
        <v>241</v>
      </c>
      <c r="C3" s="11" t="s">
        <v>120</v>
      </c>
      <c r="D3" s="11" t="s">
        <v>18</v>
      </c>
      <c r="E3" s="11" t="s">
        <v>242</v>
      </c>
    </row>
    <row r="4" customFormat="false" ht="15" hidden="false" customHeight="false" outlineLevel="0" collapsed="false">
      <c r="A4" s="43" t="s">
        <v>243</v>
      </c>
      <c r="B4" s="43" t="n">
        <f aca="false">COUNTIFS('Work Log (Trezo)'!$B$5:$B$86,$A4,'Work Log (Trezo)'!$G$5:$G$86,"git")+COUNTIFS('Work Log (Trezo)'!$B$5:$B$86,$A4,'Work Log (Trezo)'!$G$5:$G$86,"manual")</f>
        <v>0</v>
      </c>
      <c r="C4" s="43" t="n">
        <f aca="false">SUMIFS('Work Log (Trezo)'!$C$5:$C$86,'Work Log (Trezo)'!$B$5:$B$86,$A4,'Work Log (Trezo)'!$G$5:$G$86,"git")</f>
        <v>0</v>
      </c>
      <c r="D4" s="44" t="n">
        <f aca="false">SUMIFS('Work Log (Trezo)'!$F$5:$F$86,'Work Log (Trezo)'!$B$5:$B$86,$A4,'Work Log (Trezo)'!$G$5:$G$86,"git")+SUMIFS('Work Log (Trezo)'!$F$5:$F$86,'Work Log (Trezo)'!$B$5:$B$86,$A4,'Work Log (Trezo)'!$G$5:$G$86,"manual")</f>
        <v>0</v>
      </c>
      <c r="E4" s="45" t="n">
        <f aca="false">IFERROR($D4/$D$8,0)</f>
        <v>0</v>
      </c>
    </row>
    <row r="5" customFormat="false" ht="15" hidden="false" customHeight="false" outlineLevel="0" collapsed="false">
      <c r="A5" s="43" t="s">
        <v>244</v>
      </c>
      <c r="B5" s="43" t="n">
        <f aca="false">COUNTIFS('Work Log (Trezo)'!$B$5:$B$86,$A5,'Work Log (Trezo)'!$G$5:$G$86,"git")+COUNTIFS('Work Log (Trezo)'!$B$5:$B$86,$A5,'Work Log (Trezo)'!$G$5:$G$86,"manual")</f>
        <v>11</v>
      </c>
      <c r="C5" s="43" t="n">
        <f aca="false">SUMIFS('Work Log (Trezo)'!$C$5:$C$86,'Work Log (Trezo)'!$B$5:$B$86,$A5,'Work Log (Trezo)'!$G$5:$G$86,"git")</f>
        <v>36</v>
      </c>
      <c r="D5" s="44" t="n">
        <f aca="false">SUMIFS('Work Log (Trezo)'!$F$5:$F$86,'Work Log (Trezo)'!$B$5:$B$86,$A5,'Work Log (Trezo)'!$G$5:$G$86,"git")+SUMIFS('Work Log (Trezo)'!$F$5:$F$86,'Work Log (Trezo)'!$B$5:$B$86,$A5,'Work Log (Trezo)'!$G$5:$G$86,"manual")</f>
        <v>60.45</v>
      </c>
      <c r="E5" s="45" t="n">
        <f aca="false">IFERROR($D5/$D$8,0)</f>
        <v>0.276912505726065</v>
      </c>
    </row>
    <row r="6" customFormat="false" ht="15" hidden="false" customHeight="false" outlineLevel="0" collapsed="false">
      <c r="A6" s="43" t="s">
        <v>245</v>
      </c>
      <c r="B6" s="43" t="n">
        <f aca="false">COUNTIFS('Work Log (Trezo)'!$B$5:$B$86,$A6,'Work Log (Trezo)'!$G$5:$G$86,"git")+COUNTIFS('Work Log (Trezo)'!$B$5:$B$86,$A6,'Work Log (Trezo)'!$G$5:$G$86,"manual")</f>
        <v>17</v>
      </c>
      <c r="C6" s="43" t="n">
        <f aca="false">SUMIFS('Work Log (Trezo)'!$C$5:$C$86,'Work Log (Trezo)'!$B$5:$B$86,$A6,'Work Log (Trezo)'!$G$5:$G$86,"git")</f>
        <v>80</v>
      </c>
      <c r="D6" s="44" t="n">
        <f aca="false">SUMIFS('Work Log (Trezo)'!$F$5:$F$86,'Work Log (Trezo)'!$B$5:$B$86,$A6,'Work Log (Trezo)'!$G$5:$G$86,"git")+SUMIFS('Work Log (Trezo)'!$F$5:$F$86,'Work Log (Trezo)'!$B$5:$B$86,$A6,'Work Log (Trezo)'!$G$5:$G$86,"manual")</f>
        <v>72</v>
      </c>
      <c r="E6" s="45" t="n">
        <f aca="false">IFERROR($D6/$D$8,0)</f>
        <v>0.329821346770499</v>
      </c>
    </row>
    <row r="7" customFormat="false" ht="15" hidden="false" customHeight="false" outlineLevel="0" collapsed="false">
      <c r="A7" s="43" t="s">
        <v>246</v>
      </c>
      <c r="B7" s="43" t="n">
        <f aca="false">COUNTIFS('Work Log (Trezo)'!$B$5:$B$86,$A7,'Work Log (Trezo)'!$G$5:$G$86,"git")+COUNTIFS('Work Log (Trezo)'!$B$5:$B$86,$A7,'Work Log (Trezo)'!$G$5:$G$86,"manual")</f>
        <v>11</v>
      </c>
      <c r="C7" s="43" t="n">
        <f aca="false">SUMIFS('Work Log (Trezo)'!$C$5:$C$86,'Work Log (Trezo)'!$B$5:$B$86,$A7,'Work Log (Trezo)'!$G$5:$G$86,"git")</f>
        <v>82</v>
      </c>
      <c r="D7" s="44" t="n">
        <f aca="false">SUMIFS('Work Log (Trezo)'!$F$5:$F$86,'Work Log (Trezo)'!$B$5:$B$86,$A7,'Work Log (Trezo)'!$G$5:$G$86,"git")+SUMIFS('Work Log (Trezo)'!$F$5:$F$86,'Work Log (Trezo)'!$B$5:$B$86,$A7,'Work Log (Trezo)'!$G$5:$G$86,"manual")</f>
        <v>85.85</v>
      </c>
      <c r="E7" s="45" t="n">
        <f aca="false">IFERROR($D7/$D$8,0)</f>
        <v>0.393266147503436</v>
      </c>
    </row>
    <row r="8" customFormat="false" ht="15" hidden="false" customHeight="false" outlineLevel="0" collapsed="false">
      <c r="A8" s="46" t="s">
        <v>247</v>
      </c>
      <c r="B8" s="47" t="n">
        <f aca="false">SUM(B4:B7)</f>
        <v>39</v>
      </c>
      <c r="C8" s="47" t="n">
        <f aca="false">SUM(C4:C7)</f>
        <v>198</v>
      </c>
      <c r="D8" s="48" t="n">
        <f aca="false">SUM(D4:D7)</f>
        <v>218.3</v>
      </c>
      <c r="E8" s="49" t="n">
        <f aca="false">SUM(E4:E7)</f>
        <v>1</v>
      </c>
    </row>
    <row r="10" customFormat="false" ht="15" hidden="false" customHeight="false" outlineLevel="0" collapsed="false">
      <c r="A10" s="50"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7"/>
    <col collapsed="false" customWidth="true" hidden="false" outlineLevel="0" max="4" min="4" style="0" width="30"/>
    <col collapsed="false" customWidth="true" hidden="false" outlineLevel="0" max="5" min="5" style="0" width="60"/>
    <col collapsed="false" customWidth="true" hidden="false" outlineLevel="0" max="6" min="6" style="0" width="34"/>
    <col collapsed="false" customWidth="true" hidden="false" outlineLevel="0" max="7" min="7" style="0" width="11"/>
    <col collapsed="false" customWidth="true" hidden="false" outlineLevel="0" max="8" min="8" style="0" width="26"/>
  </cols>
  <sheetData>
    <row r="1" customFormat="false" ht="17.35" hidden="false" customHeight="false" outlineLevel="0" collapsed="false">
      <c r="A1" s="20" t="s">
        <v>249</v>
      </c>
    </row>
    <row r="2" customFormat="false" ht="15" hidden="false" customHeight="false" outlineLevel="0" collapsed="false">
      <c r="A2" s="21" t="s">
        <v>250</v>
      </c>
    </row>
    <row r="4" customFormat="false" ht="15" hidden="false" customHeight="false" outlineLevel="0" collapsed="false">
      <c r="A4" s="11" t="s">
        <v>251</v>
      </c>
      <c r="B4" s="11" t="s">
        <v>252</v>
      </c>
      <c r="C4" s="11" t="s">
        <v>253</v>
      </c>
      <c r="D4" s="11" t="s">
        <v>254</v>
      </c>
      <c r="E4" s="11" t="s">
        <v>255</v>
      </c>
      <c r="F4" s="11" t="s">
        <v>256</v>
      </c>
      <c r="G4" s="11" t="s">
        <v>41</v>
      </c>
      <c r="H4" s="11" t="s">
        <v>257</v>
      </c>
    </row>
    <row r="5" customFormat="false" ht="39.75" hidden="false" customHeight="true" outlineLevel="0" collapsed="false">
      <c r="A5" s="22" t="s">
        <v>42</v>
      </c>
      <c r="B5" s="22" t="s">
        <v>47</v>
      </c>
      <c r="C5" s="22" t="n">
        <v>5</v>
      </c>
      <c r="D5" s="23" t="s">
        <v>258</v>
      </c>
      <c r="E5" s="23" t="s">
        <v>259</v>
      </c>
      <c r="F5" s="23" t="s">
        <v>260</v>
      </c>
      <c r="G5" s="22" t="s">
        <v>46</v>
      </c>
      <c r="H5" s="23" t="s">
        <v>261</v>
      </c>
    </row>
    <row r="6" customFormat="false" ht="39.75" hidden="false" customHeight="true" outlineLevel="0" collapsed="false">
      <c r="A6" s="22" t="s">
        <v>49</v>
      </c>
      <c r="B6" s="22" t="s">
        <v>49</v>
      </c>
      <c r="C6" s="22" t="n">
        <v>0</v>
      </c>
      <c r="D6" s="23" t="s">
        <v>262</v>
      </c>
      <c r="E6" s="23" t="s">
        <v>51</v>
      </c>
      <c r="F6" s="23" t="s">
        <v>260</v>
      </c>
      <c r="G6" s="22" t="s">
        <v>46</v>
      </c>
      <c r="H6" s="23" t="s">
        <v>261</v>
      </c>
    </row>
    <row r="7" customFormat="false" ht="39.75" hidden="false" customHeight="true" outlineLevel="0" collapsed="false">
      <c r="A7" s="24" t="s">
        <v>263</v>
      </c>
      <c r="B7" s="24" t="s">
        <v>264</v>
      </c>
      <c r="C7" s="24" t="n">
        <v>58</v>
      </c>
      <c r="D7" s="25" t="s">
        <v>265</v>
      </c>
      <c r="E7" s="25" t="s">
        <v>266</v>
      </c>
      <c r="F7" s="25" t="s">
        <v>267</v>
      </c>
      <c r="G7" s="24" t="s">
        <v>56</v>
      </c>
      <c r="H7" s="25" t="s">
        <v>268</v>
      </c>
    </row>
    <row r="8" customFormat="false" ht="39.75" hidden="false" customHeight="true" outlineLevel="0" collapsed="false">
      <c r="A8" s="24" t="s">
        <v>269</v>
      </c>
      <c r="B8" s="24" t="s">
        <v>270</v>
      </c>
      <c r="C8" s="24" t="n">
        <v>30</v>
      </c>
      <c r="D8" s="25" t="s">
        <v>271</v>
      </c>
      <c r="E8" s="25" t="s">
        <v>272</v>
      </c>
      <c r="F8" s="25" t="s">
        <v>273</v>
      </c>
      <c r="G8" s="24" t="s">
        <v>56</v>
      </c>
      <c r="H8" s="25" t="s">
        <v>274</v>
      </c>
    </row>
    <row r="9" customFormat="false" ht="39.75" hidden="false" customHeight="true" outlineLevel="0" collapsed="false">
      <c r="A9" s="22" t="s">
        <v>60</v>
      </c>
      <c r="B9" s="22" t="s">
        <v>60</v>
      </c>
      <c r="C9" s="22" t="n">
        <v>0</v>
      </c>
      <c r="D9" s="23" t="s">
        <v>275</v>
      </c>
      <c r="E9" s="23" t="s">
        <v>276</v>
      </c>
      <c r="F9" s="23" t="s">
        <v>277</v>
      </c>
      <c r="G9" s="22" t="s">
        <v>46</v>
      </c>
      <c r="H9" s="23" t="s">
        <v>261</v>
      </c>
    </row>
    <row r="10" customFormat="false" ht="39.75" hidden="false" customHeight="true" outlineLevel="0" collapsed="false">
      <c r="A10" s="22" t="s">
        <v>68</v>
      </c>
      <c r="B10" s="22" t="s">
        <v>68</v>
      </c>
      <c r="C10" s="22" t="n">
        <v>0</v>
      </c>
      <c r="D10" s="23" t="s">
        <v>278</v>
      </c>
      <c r="E10" s="23" t="s">
        <v>279</v>
      </c>
      <c r="F10" s="23" t="s">
        <v>280</v>
      </c>
      <c r="G10" s="22" t="s">
        <v>46</v>
      </c>
      <c r="H10" s="23" t="s">
        <v>261</v>
      </c>
    </row>
    <row r="12" customFormat="false" ht="15" hidden="false" customHeight="false" outlineLevel="0" collapsed="false">
      <c r="A12" s="50"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7.35" hidden="false" customHeight="false" outlineLevel="0" collapsed="false">
      <c r="A1" s="20" t="s">
        <v>282</v>
      </c>
    </row>
    <row r="3" customFormat="false" ht="15" hidden="false" customHeight="false" outlineLevel="0" collapsed="false">
      <c r="A3" s="41" t="s">
        <v>283</v>
      </c>
    </row>
    <row r="4" customFormat="false" ht="15" hidden="false" customHeight="true" outlineLevel="0" collapsed="false">
      <c r="A4" s="51" t="s">
        <v>284</v>
      </c>
      <c r="B4" s="51"/>
      <c r="C4" s="51"/>
      <c r="D4" s="51"/>
      <c r="E4" s="51"/>
      <c r="F4" s="51"/>
      <c r="G4" s="51"/>
      <c r="H4" s="51"/>
    </row>
    <row r="5" customFormat="false" ht="15" hidden="false" customHeight="false" outlineLevel="0" collapsed="false">
      <c r="A5" s="51"/>
      <c r="B5" s="51"/>
      <c r="C5" s="51"/>
      <c r="D5" s="51"/>
      <c r="E5" s="51"/>
      <c r="F5" s="51"/>
      <c r="G5" s="51"/>
      <c r="H5" s="51"/>
    </row>
    <row r="6" customFormat="false" ht="15" hidden="false" customHeight="false" outlineLevel="0" collapsed="false">
      <c r="A6" s="51"/>
      <c r="B6" s="51"/>
      <c r="C6" s="51"/>
      <c r="D6" s="51"/>
      <c r="E6" s="51"/>
      <c r="F6" s="51"/>
      <c r="G6" s="51"/>
      <c r="H6" s="51"/>
    </row>
    <row r="8" customFormat="false" ht="15" hidden="false" customHeight="false" outlineLevel="0" collapsed="false">
      <c r="A8" s="41" t="s">
        <v>285</v>
      </c>
    </row>
    <row r="9" customFormat="false" ht="15" hidden="false" customHeight="true" outlineLevel="0" collapsed="false">
      <c r="A9" s="51" t="s">
        <v>286</v>
      </c>
      <c r="B9" s="51"/>
      <c r="C9" s="51"/>
      <c r="D9" s="51"/>
      <c r="E9" s="51"/>
      <c r="F9" s="51"/>
      <c r="G9" s="51"/>
      <c r="H9" s="51"/>
    </row>
    <row r="10" customFormat="false" ht="15" hidden="false" customHeight="false" outlineLevel="0" collapsed="false">
      <c r="A10" s="51"/>
      <c r="B10" s="51"/>
      <c r="C10" s="51"/>
      <c r="D10" s="51"/>
      <c r="E10" s="51"/>
      <c r="F10" s="51"/>
      <c r="G10" s="51"/>
      <c r="H10" s="51"/>
    </row>
    <row r="11" customFormat="false" ht="15" hidden="false" customHeight="false" outlineLevel="0" collapsed="false">
      <c r="A11" s="51"/>
      <c r="B11" s="51"/>
      <c r="C11" s="51"/>
      <c r="D11" s="51"/>
      <c r="E11" s="51"/>
      <c r="F11" s="51"/>
      <c r="G11" s="51"/>
      <c r="H11" s="51"/>
    </row>
    <row r="13" customFormat="false" ht="15" hidden="false" customHeight="false" outlineLevel="0" collapsed="false">
      <c r="A13" s="41" t="s">
        <v>287</v>
      </c>
    </row>
    <row r="14" customFormat="false" ht="15" hidden="false" customHeight="true" outlineLevel="0" collapsed="false">
      <c r="A14" s="51" t="s">
        <v>288</v>
      </c>
      <c r="B14" s="51"/>
      <c r="C14" s="51"/>
      <c r="D14" s="51"/>
      <c r="E14" s="51"/>
      <c r="F14" s="51"/>
      <c r="G14" s="51"/>
      <c r="H14" s="51"/>
    </row>
    <row r="15" customFormat="false" ht="15" hidden="false" customHeight="false" outlineLevel="0" collapsed="false">
      <c r="A15" s="51"/>
      <c r="B15" s="51"/>
      <c r="C15" s="51"/>
      <c r="D15" s="51"/>
      <c r="E15" s="51"/>
      <c r="F15" s="51"/>
      <c r="G15" s="51"/>
      <c r="H15" s="51"/>
    </row>
    <row r="16" customFormat="false" ht="15" hidden="false" customHeight="false" outlineLevel="0" collapsed="false">
      <c r="A16" s="51"/>
      <c r="B16" s="51"/>
      <c r="C16" s="51"/>
      <c r="D16" s="51"/>
      <c r="E16" s="51"/>
      <c r="F16" s="51"/>
      <c r="G16" s="51"/>
      <c r="H16" s="51"/>
    </row>
    <row r="18" customFormat="false" ht="15" hidden="false" customHeight="false" outlineLevel="0" collapsed="false">
      <c r="A18" s="41" t="s">
        <v>289</v>
      </c>
    </row>
    <row r="19" customFormat="false" ht="15" hidden="false" customHeight="true" outlineLevel="0" collapsed="false">
      <c r="A19" s="51" t="s">
        <v>290</v>
      </c>
      <c r="B19" s="51"/>
      <c r="C19" s="51"/>
      <c r="D19" s="51"/>
      <c r="E19" s="51"/>
      <c r="F19" s="51"/>
      <c r="G19" s="51"/>
      <c r="H19" s="51"/>
    </row>
    <row r="20" customFormat="false" ht="15" hidden="false" customHeight="false" outlineLevel="0" collapsed="false">
      <c r="A20" s="51"/>
      <c r="B20" s="51"/>
      <c r="C20" s="51"/>
      <c r="D20" s="51"/>
      <c r="E20" s="51"/>
      <c r="F20" s="51"/>
      <c r="G20" s="51"/>
      <c r="H20" s="51"/>
    </row>
    <row r="21" customFormat="false" ht="15" hidden="false" customHeight="false" outlineLevel="0" collapsed="false">
      <c r="A21" s="51"/>
      <c r="B21" s="51"/>
      <c r="C21" s="51"/>
      <c r="D21" s="51"/>
      <c r="E21" s="51"/>
      <c r="F21" s="51"/>
      <c r="G21" s="51"/>
      <c r="H21" s="51"/>
    </row>
    <row r="23" customFormat="false" ht="15" hidden="false" customHeight="false" outlineLevel="0" collapsed="false">
      <c r="A23" s="41" t="s">
        <v>291</v>
      </c>
    </row>
    <row r="24" customFormat="false" ht="15" hidden="false" customHeight="true" outlineLevel="0" collapsed="false">
      <c r="A24" s="51" t="s">
        <v>292</v>
      </c>
      <c r="B24" s="51"/>
      <c r="C24" s="51"/>
      <c r="D24" s="51"/>
      <c r="E24" s="51"/>
      <c r="F24" s="51"/>
      <c r="G24" s="51"/>
      <c r="H24" s="51"/>
    </row>
    <row r="25" customFormat="false" ht="15" hidden="false" customHeight="false" outlineLevel="0" collapsed="false">
      <c r="A25" s="51"/>
      <c r="B25" s="51"/>
      <c r="C25" s="51"/>
      <c r="D25" s="51"/>
      <c r="E25" s="51"/>
      <c r="F25" s="51"/>
      <c r="G25" s="51"/>
      <c r="H25" s="51"/>
    </row>
    <row r="26" customFormat="false" ht="15" hidden="false" customHeight="false" outlineLevel="0" collapsed="false">
      <c r="A26" s="51"/>
      <c r="B26" s="51"/>
      <c r="C26" s="51"/>
      <c r="D26" s="51"/>
      <c r="E26" s="51"/>
      <c r="F26" s="51"/>
      <c r="G26" s="51"/>
      <c r="H26" s="51"/>
    </row>
    <row r="28" customFormat="false" ht="15" hidden="false" customHeight="false" outlineLevel="0" collapsed="false">
      <c r="A28" s="41" t="s">
        <v>293</v>
      </c>
    </row>
    <row r="29" customFormat="false" ht="15" hidden="false" customHeight="true" outlineLevel="0" collapsed="false">
      <c r="A29" s="51" t="s">
        <v>294</v>
      </c>
      <c r="B29" s="51"/>
      <c r="C29" s="51"/>
      <c r="D29" s="51"/>
      <c r="E29" s="51"/>
      <c r="F29" s="51"/>
      <c r="G29" s="51"/>
      <c r="H29" s="51"/>
    </row>
    <row r="30" customFormat="false" ht="15" hidden="false" customHeight="false" outlineLevel="0" collapsed="false">
      <c r="A30" s="51"/>
      <c r="B30" s="51"/>
      <c r="C30" s="51"/>
      <c r="D30" s="51"/>
      <c r="E30" s="51"/>
      <c r="F30" s="51"/>
      <c r="G30" s="51"/>
      <c r="H30" s="51"/>
    </row>
    <row r="31" customFormat="false" ht="15" hidden="false" customHeight="false" outlineLevel="0" collapsed="false">
      <c r="A31" s="51"/>
      <c r="B31" s="51"/>
      <c r="C31" s="51"/>
      <c r="D31" s="51"/>
      <c r="E31" s="51"/>
      <c r="F31" s="51"/>
      <c r="G31" s="51"/>
      <c r="H31" s="51"/>
    </row>
  </sheetData>
  <mergeCells count="6">
    <mergeCell ref="A4:H6"/>
    <mergeCell ref="A9:H11"/>
    <mergeCell ref="A14:H16"/>
    <mergeCell ref="A19:H21"/>
    <mergeCell ref="A24:H26"/>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2026-08-20T02:21:39Z</dcterms:created>
  <dc:creator>openpyxl</dc:creator>
  <dc:description/>
  <dc:language>en-US</dc:language>
  <cp:lastModifiedBy/>
  <dcterms:modified xsi:type="dcterms:W3CDTF">2026-08-20T02:21:39Z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